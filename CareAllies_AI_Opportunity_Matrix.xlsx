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a052ae5f0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Opportunity Matrix" sheetId="1" r:id="R599a875cd4874b68"/>
    <x:sheet xmlns:r="http://schemas.openxmlformats.org/officeDocument/2006/relationships" name="Executive Summary" sheetId="2" r:id="R1342342db3294653"/>
    <x:sheet xmlns:r="http://schemas.openxmlformats.org/officeDocument/2006/relationships" name="Scoring Guide" sheetId="3" r:id="Ra7ca6c43fa4f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b/>
      <x:sz val="20"/>
      <x:color rgb="FF17365D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843C0C"/>
      </x:font>
      <x:fill>
        <x:patternFill patternType="solid">
          <x:bgColor rgb="FFF4B084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843C0C"/>
      </x:font>
      <x:fill>
        <x:patternFill patternType="solid"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a0bd3f03d4a61" /><Relationship Type="http://schemas.openxmlformats.org/officeDocument/2006/relationships/theme" Target="/xl/theme/theme1.xml" Id="R80233faa57724e09" /><Relationship Type="http://schemas.openxmlformats.org/officeDocument/2006/relationships/sharedStrings" Target="/xl/sharedStrings.xml" Id="R15b047a758694668" /><Relationship Type="http://schemas.openxmlformats.org/officeDocument/2006/relationships/worksheet" Target="/xl/worksheets/sheet1.xml" Id="R599a875cd4874b68" /><Relationship Type="http://schemas.openxmlformats.org/officeDocument/2006/relationships/worksheet" Target="/xl/worksheets/sheet2.xml" Id="R1342342db3294653" /><Relationship Type="http://schemas.openxmlformats.org/officeDocument/2006/relationships/worksheet" Target="/xl/worksheets/sheet3.xml" Id="Ra7ca6c43fa4f49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6b96d7f2d744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Opportunities by Priority Score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'Executive Summary'!$H$10:$H$17</c:f>
              <c:strCache>
                <c:ptCount val="0"/>
              </c:strCache>
            </c:strRef>
          </c:cat>
          <c:val>
            <c:numRef>
              <c:f>'Executive Summary'!$I$10:$I$17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6b96d7f2d744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OpportunityTable" displayName="AIOpportunityTable" ref="A4:W16" headerRowCount="1" totalsRowCount="0" totalsRowShown="0">
  <x:tableColumns count="23">
    <x:tableColumn id="1" name="ID"/>
    <x:tableColumn id="2" name="AI Opportunity"/>
    <x:tableColumn id="3" name="Domain"/>
    <x:tableColumn id="4" name="Business Problem / Current Gap"/>
    <x:tableColumn id="5" name="AI Capability"/>
    <x:tableColumn id="6" name="Example Business Question"/>
    <x:tableColumn id="7" name="High-Level Operating Sequence"/>
    <x:tableColumn id="8" name="Potential Technical Tools"/>
    <x:tableColumn id="9" name="Primary Data Inputs"/>
    <x:tableColumn id="10" name="Primary ROI / Business Value"/>
    <x:tableColumn id="11" name="ROI (1-5)"/>
    <x:tableColumn id="12" name="Feasibility (1-5)"/>
    <x:tableColumn id="13" name="Differentiation (1-5)"/>
    <x:tableColumn id="14" name="Strategic Importance (1-5)"/>
    <x:tableColumn id="15" name="Priority Product Score"/>
    <x:tableColumn id="16" name="Normalized Score (0-100)"/>
    <x:tableColumn id="17" name="Priority Tier"/>
    <x:tableColumn id="18" name="Suggested Horizon"/>
    <x:tableColumn id="19" name="Existing Tool Test / Near-Term Proof"/>
    <x:tableColumn id="20" name="Custom AI Needed?"/>
    <x:tableColumn id="21" name="QA / Validation Approach"/>
    <x:tableColumn id="22" name="Success KPIs"/>
    <x:tableColumn id="23" name="Key Dependencie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a1c80142f4b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73db00930d348eb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20" hidden="0" customWidth="1"/>
    <x:col min="4" max="4" width="38" hidden="0" customWidth="1"/>
    <x:col min="5" max="5" width="30" hidden="0" customWidth="1"/>
    <x:col min="6" max="6" width="38" hidden="0" customWidth="1"/>
    <x:col min="7" max="7" width="55" hidden="0" customWidth="1"/>
    <x:col min="8" max="8" width="44" hidden="0" customWidth="1"/>
    <x:col min="9" max="9" width="36" hidden="0" customWidth="1"/>
    <x:col min="10" max="10" width="38" hidden="0" customWidth="1"/>
    <x:col min="11" max="11" width="11" hidden="0" customWidth="1"/>
    <x:col min="12" max="12" width="13" hidden="0" customWidth="1"/>
    <x:col min="13" max="13" width="15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20" hidden="0" customWidth="1"/>
    <x:col min="19" max="19" width="42" hidden="0" customWidth="1"/>
    <x:col min="20" max="20" width="14" hidden="0" customWidth="1"/>
    <x:col min="21" max="21" width="44" hidden="0" customWidth="1"/>
    <x:col min="22" max="22" width="38" hidden="0" customWidth="1"/>
    <x:col min="23" max="23" width="42" hidden="0" customWidth="1"/>
    <x:col min="24" max="24" width="12" hidden="0" customWidth="1"/>
  </x:cols>
  <x:sheetData>
    <x:row r="1" ht="30" customHeight="1">
      <x:c r="A1" s="5" t="str">
        <x:v>CareAllies AI Opportunity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4" customHeight="1">
      <x:c r="A2" s="14" t="str">
        <x:v>Prioritize AI opportunities by business value, feasibility, differentiation, and strategic importance. Scores are intentionally editable for leadership calibration.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</x:row>
    <x:row r="4" ht="46" customHeight="1">
      <x:c r="A4" s="24" t="str">
        <x:v>ID</x:v>
      </x:c>
      <x:c r="B4" s="24" t="str">
        <x:v>AI Opportunity</x:v>
      </x:c>
      <x:c r="C4" s="24" t="str">
        <x:v>Domain</x:v>
      </x:c>
      <x:c r="D4" s="24" t="str">
        <x:v>Business Problem / Current Gap</x:v>
      </x:c>
      <x:c r="E4" s="24" t="str">
        <x:v>AI Capability</x:v>
      </x:c>
      <x:c r="F4" s="24" t="str">
        <x:v>Example Business Question</x:v>
      </x:c>
      <x:c r="G4" s="24" t="str">
        <x:v>High-Level Operating Sequence</x:v>
      </x:c>
      <x:c r="H4" s="24" t="str">
        <x:v>Potential Technical Tools</x:v>
      </x:c>
      <x:c r="I4" s="24" t="str">
        <x:v>Primary Data Inputs</x:v>
      </x:c>
      <x:c r="J4" s="24" t="str">
        <x:v>Primary ROI / Business Value</x:v>
      </x:c>
      <x:c r="K4" s="24" t="str">
        <x:v>ROI (1-5)</x:v>
      </x:c>
      <x:c r="L4" s="24" t="str">
        <x:v>Feasibility (1-5)</x:v>
      </x:c>
      <x:c r="M4" s="24" t="str">
        <x:v>Differentiation (1-5)</x:v>
      </x:c>
      <x:c r="N4" s="24" t="str">
        <x:v>Strategic Importance (1-5)</x:v>
      </x:c>
      <x:c r="O4" s="24" t="str">
        <x:v>Priority Product Score</x:v>
      </x:c>
      <x:c r="P4" s="24" t="str">
        <x:v>Normalized Score (0-100)</x:v>
      </x:c>
      <x:c r="Q4" s="24" t="str">
        <x:v>Priority Tier</x:v>
      </x:c>
      <x:c r="R4" s="24" t="str">
        <x:v>Suggested Horizon</x:v>
      </x:c>
      <x:c r="S4" s="24" t="str">
        <x:v>Existing Tool Test / Near-Term Proof</x:v>
      </x:c>
      <x:c r="T4" s="24" t="str">
        <x:v>Custom AI Needed?</x:v>
      </x:c>
      <x:c r="U4" s="24" t="str">
        <x:v>QA / Validation Approach</x:v>
      </x:c>
      <x:c r="V4" s="24" t="str">
        <x:v>Success KPIs</x:v>
      </x:c>
      <x:c r="W4" s="24" t="str">
        <x:v>Key Dependencies / Notes</x:v>
      </x:c>
      <x:c r="X4" s="24" t="str">
        <x:v>Dynamic Rank</x:v>
      </x:c>
    </x:row>
    <x:row r="5" ht="120" customHeight="1">
      <x:c r="A5" s="34" t="n">
        <x:v>1</x:v>
      </x:c>
      <x:c r="B5" s="32" t="str">
        <x:v>Audit the Auditor</x:v>
      </x:c>
      <x:c r="C5" s="32" t="str">
        <x:v>Risk Adjustment</x:v>
      </x:c>
      <x:c r="D5" s="32" t="str">
        <x:v>Potentially incorrect or inconsistent chart audit decisions can create missed valid risk, unsupported risk exposure, and provider abrasion.</x:v>
      </x:c>
      <x:c r="E5" s="32" t="str">
        <x:v>Multimodal LLM + RAG + evidence classification</x:v>
      </x:c>
      <x:c r="F5" s="32" t="str">
        <x:v>Which auditor decisions appear inconsistent with the underlying clinical evidence and should be reviewed?</x:v>
      </x:c>
      <x:c r="G5" s="32" t="str">
        <x:v>Ingest digital/scanned chart → extract clinical evidence → retrieve current CMS/HCC guidance → compare evidence to auditor outcome → assign confidence/review flag → route exceptions to human reviewer → capture final decision for learning.</x:v>
      </x:c>
      <x:c r="H5" s="32" t="str">
        <x:v>Enterprise multimodal LLM (Azure AI Foundry / Amazon Bedrock); RAG; vector search; Python; secure document pipeline; workflow/API layer; audit logging</x:v>
      </x:c>
      <x:c r="I5" s="32" t="str">
        <x:v>Medical charts; auditor results; HCC/ICD mappings; CMS guidance; encounter metadata; prior appeal/override outcomes</x:v>
      </x:c>
      <x:c r="J5" s="32" t="str">
        <x:v>Recover valid RAF; reduce unsupported submissions; improve RADV protection; reduce manual re-review; lower provider abrasion.</x:v>
      </x:c>
      <x:c r="K5" s="34" t="n">
        <x:v>5</x:v>
      </x:c>
      <x:c r="L5" s="34" t="n">
        <x:v>4</x:v>
      </x:c>
      <x:c r="M5" s="34" t="n">
        <x:v>5</x:v>
      </x:c>
      <x:c r="N5" s="34" t="n">
        <x:v>5</x:v>
      </x:c>
      <x:c r="O5" s="34" t="n">
        <x:f>K5*L5*M5*N5</x:f>
        <x:v>500</x:v>
      </x:c>
      <x:c r="P5" s="34" t="n">
        <x:f>ROUND(O5/625*100,0)</x:f>
        <x:v>80</x:v>
      </x:c>
      <x:c r="Q5" s="34" t="str">
        <x:f>IF(P5&gt;=70,"Tier 1",IF(P5&gt;=35,"Tier 2","Tier 3"))</x:f>
        <x:v>Tier 1</x:v>
      </x:c>
      <x:c r="R5" s="32" t="str">
        <x:v>0–6 months pilot</x:v>
      </x:c>
      <x:c r="S5" s="32" t="str">
        <x:v>Partial: test chart reasoning with approved enterprise AI; compare against known reviewed cases.</x:v>
      </x:c>
      <x:c r="T5" s="32" t="str">
        <x:v>Yes</x:v>
      </x:c>
      <x:c r="U5" s="32" t="str">
        <x:v>Blind comparison to coder/clinical reviewer ground truth; precision/recall on disagreement flags; financial impact of confirmed overrides; false-positive review rate.</x:v>
      </x:c>
      <x:c r="V5" s="32" t="str">
        <x:v>Confirmed valid reversals; RAF/value recovered; unsupported risk avoided; reviewer hours saved; provider disputes reduced</x:v>
      </x:c>
      <x:c r="W5" s="32" t="str">
        <x:v>Access to historical audited charts and final outcomes; PHI-approved model environment; clinical/coding SME participation.</x:v>
      </x:c>
      <x:c r="X5" s="66" t="n">
        <x:f>RANK(P5,$P$5:$P$16,0)+COUNTIF($P$5:P5,P5)-1</x:f>
        <x:v>1</x:v>
      </x:c>
    </x:row>
    <x:row r="6" ht="120" customHeight="1">
      <x:c r="A6" s="34" t="n">
        <x:v>2</x:v>
      </x:c>
      <x:c r="B6" s="32" t="str">
        <x:v>Clinical Documentation Intelligence</x:v>
      </x:c>
      <x:c r="C6" s="32" t="str">
        <x:v>Risk Adjustment</x:v>
      </x:c>
      <x:c r="D6" s="32" t="str">
        <x:v>Handwritten, scanned, and unstructured clinical documentation is difficult and time-consuming to convert into usable structured information.</x:v>
      </x:c>
      <x:c r="E6" s="32" t="str">
        <x:v>Vision-language model + structured extraction + clinical evidence tagging</x:v>
      </x:c>
      <x:c r="F6" s="32" t="str">
        <x:v>Can we reliably convert incoming clinical documentation into structured evidence for downstream risk and quality workflows?</x:v>
      </x:c>
      <x:c r="G6" s="32" t="str">
        <x:v>Receive chart/image/PDF → classify document type → vision model extracts text/context → normalize to structured JSON/tabular fields → identify diagnoses/evidence → assign confidence → human review for low-confidence cases → store structured output.</x:v>
      </x:c>
      <x:c r="H6" s="32" t="str">
        <x:v>Enterprise vision-capable LLM; document parsing/OCR fallback; Python; JSON schema validation; object storage; secure API; SQL/Redshift ingestion</x:v>
      </x:c>
      <x:c r="I6" s="32" t="str">
        <x:v>Handwritten charts; scanned PDFs; digital notes; chart metadata; clinical terminology dictionaries</x:v>
      </x:c>
      <x:c r="J6" s="32" t="str">
        <x:v>Reduce manual abstraction effort; accelerate chart review; improve capture consistency; enable downstream automation.</x:v>
      </x:c>
      <x:c r="K6" s="34" t="n">
        <x:v>4</x:v>
      </x:c>
      <x:c r="L6" s="34" t="n">
        <x:v>4</x:v>
      </x:c>
      <x:c r="M6" s="34" t="n">
        <x:v>4</x:v>
      </x:c>
      <x:c r="N6" s="34" t="n">
        <x:v>4</x:v>
      </x:c>
      <x:c r="O6" s="34" t="n">
        <x:f>K6*L6*M6*N6</x:f>
        <x:v>256</x:v>
      </x:c>
      <x:c r="P6" s="34" t="n">
        <x:f>ROUND(O6/625*100,0)</x:f>
        <x:v>41</x:v>
      </x:c>
      <x:c r="Q6" s="34" t="str">
        <x:f>IF(P6&gt;=70,"Tier 1",IF(P6&gt;=35,"Tier 2","Tier 3"))</x:f>
        <x:v>Tier 2</x:v>
      </x:c>
      <x:c r="R6" s="32" t="str">
        <x:v>0–6 months pilot</x:v>
      </x:c>
      <x:c r="S6" s="32" t="str">
        <x:v>Yes: controlled test using non-PHI/synthetic or approved sample charts.</x:v>
      </x:c>
      <x:c r="T6" s="32" t="str">
        <x:v>Yes</x:v>
      </x:c>
      <x:c r="U6" s="32" t="str">
        <x:v>Field-level extraction accuracy; diagnosis/evidence accuracy; confidence calibration; human correction rate; processing time per chart.</x:v>
      </x:c>
      <x:c r="V6" s="32" t="str">
        <x:v>Minutes saved/chart; extraction accuracy; percentage straight-through processed; downstream review accuracy</x:v>
      </x:c>
      <x:c r="W6" s="32" t="str">
        <x:v>Approved chart samples; enterprise vision model; secure storage and retention policy.</x:v>
      </x:c>
      <x:c r="X6" s="66" t="n">
        <x:f>RANK(P6,$P$5:$P$16,0)+COUNTIF($P$5:P6,P6)-1</x:f>
        <x:v>8</x:v>
      </x:c>
    </x:row>
    <x:row r="7" ht="120" customHeight="1">
      <x:c r="A7" s="34" t="n">
        <x:v>3</x:v>
      </x:c>
      <x:c r="B7" s="32" t="str">
        <x:v>Automated Risk Score Investigator</x:v>
      </x:c>
      <x:c r="C7" s="32" t="str">
        <x:v>Risk Adjustment</x:v>
      </x:c>
      <x:c r="D7" s="32" t="str">
        <x:v>Questions such as 'Why did this provider's risk score decline?' require repeated manual analyst investigation across multiple data sources.</x:v>
      </x:c>
      <x:c r="E7" s="32" t="str">
        <x:v>LLM analytics agent + governed SQL + statistical decomposition</x:v>
      </x:c>
      <x:c r="F7" s="32" t="str">
        <x:v>Why did this PCP's risk score change, and what are the primary member/HCC drivers?</x:v>
      </x:c>
      <x:c r="G7" s="32" t="str">
        <x:v>User asks question → identify provider/time period → run governed queries → decompose membership, HCC recapture, model, and attribution changes → rank drivers → generate evidence-backed summary → link to supporting member/provider details.</x:v>
      </x:c>
      <x:c r="H7" s="32" t="str">
        <x:v>Redshift; Python/SQL; semantic layer; enterprise LLM API; tool/function calling; RAG for metric definitions; Streamlit/internal web UI</x:v>
      </x:c>
      <x:c r="I7" s="32" t="str">
        <x:v>Risk scores; member attribution; HCCs; claims; demographics; model versions; provider hierarchy; historical snapshots</x:v>
      </x:c>
      <x:c r="J7" s="32" t="str">
        <x:v>Cut analyst turnaround time; improve consistency; scale support to leadership/RMEs; faster identification of revenue opportunities.</x:v>
      </x:c>
      <x:c r="K7" s="34" t="n">
        <x:v>5</x:v>
      </x:c>
      <x:c r="L7" s="34" t="n">
        <x:v>5</x:v>
      </x:c>
      <x:c r="M7" s="34" t="n">
        <x:v>4</x:v>
      </x:c>
      <x:c r="N7" s="34" t="n">
        <x:v>5</x:v>
      </x:c>
      <x:c r="O7" s="34" t="n">
        <x:f>K7*L7*M7*N7</x:f>
        <x:v>500</x:v>
      </x:c>
      <x:c r="P7" s="34" t="n">
        <x:f>ROUND(O7/625*100,0)</x:f>
        <x:v>80</x:v>
      </x:c>
      <x:c r="Q7" s="34" t="str">
        <x:f>IF(P7&gt;=70,"Tier 1",IF(P7&gt;=35,"Tier 2","Tier 3"))</x:f>
        <x:v>Tier 1</x:v>
      </x:c>
      <x:c r="R7" s="32" t="str">
        <x:v>0–90 days proof of value</x:v>
      </x:c>
      <x:c r="S7" s="32" t="str">
        <x:v>Yes: benchmark Arcadia conversational analytics and/or approved Copilot against known investigations.</x:v>
      </x:c>
      <x:c r="T7" s="32" t="str">
        <x:v>Likely</x:v>
      </x:c>
      <x:c r="U7" s="32" t="str">
        <x:v>Compare AI driver decomposition to analyst gold-standard cases; reconcile totals; validate cited rows/metrics; measure answer completeness and time saved.</x:v>
      </x:c>
      <x:c r="V7" s="32" t="str">
        <x:v>Analyst hours/question; answer accuracy; turnaround time; adoption; identified actionable RAF drivers</x:v>
      </x:c>
      <x:c r="W7" s="32" t="str">
        <x:v>Reliable historical snapshots; governed SQL access; metric definitions; known comparison cases.</x:v>
      </x:c>
      <x:c r="X7" s="66" t="n">
        <x:f>RANK(P7,$P$5:$P$16,0)+COUNTIF($P$5:P7,P7)-1</x:f>
        <x:v>2</x:v>
      </x:c>
    </x:row>
    <x:row r="8" ht="120" customHeight="1">
      <x:c r="A8" s="34" t="n">
        <x:v>4</x:v>
      </x:c>
      <x:c r="B8" s="32" t="str">
        <x:v>CMS Risk Model &amp; Call Letter Intelligence</x:v>
      </x:c>
      <x:c r="C8" s="32" t="str">
        <x:v>Risk Adjustment / Strategy</x:v>
      </x:c>
      <x:c r="D8" s="32" t="str">
        <x:v>CMS model changes and guidance require substantial manual interpretation before CareAllies can understand operational and financial impacts.</x:v>
      </x:c>
      <x:c r="E8" s="32" t="str">
        <x:v>RAG + document change detection + scenario analytics</x:v>
      </x:c>
      <x:c r="F8" s="32" t="str">
        <x:v>What changed in the new CMS model or call letter, and what does it mean for our markets, providers, and risk results?</x:v>
      </x:c>
      <x:c r="G8" s="32" t="str">
        <x:v>Ingest CMS release → compare with prior version → retrieve affected rules/mappings → translate changes into analytical logic → apply to CareAllies data → quantify impacted populations/providers → generate executive and technical summaries.</x:v>
      </x:c>
      <x:c r="H8" s="32" t="str">
        <x:v>RAG; enterprise LLM; document diffing; vector database; Python/SQL; Redshift; rules engine; scheduled ingestion</x:v>
      </x:c>
      <x:c r="I8" s="32" t="str">
        <x:v>CMS call letters; model specifications; ICD/HCC mappings; CareAllies risk data; historical model outputs</x:v>
      </x:c>
      <x:c r="J8" s="32" t="str">
        <x:v>Faster regulatory response; earlier identification of financial exposure/opportunity; reduce manual interpretation effort; improve implementation accuracy.</x:v>
      </x:c>
      <x:c r="K8" s="34" t="n">
        <x:v>4</x:v>
      </x:c>
      <x:c r="L8" s="34" t="n">
        <x:v>4</x:v>
      </x:c>
      <x:c r="M8" s="34" t="n">
        <x:v>4</x:v>
      </x:c>
      <x:c r="N8" s="34" t="n">
        <x:v>5</x:v>
      </x:c>
      <x:c r="O8" s="34" t="n">
        <x:f>K8*L8*M8*N8</x:f>
        <x:v>320</x:v>
      </x:c>
      <x:c r="P8" s="34" t="n">
        <x:f>ROUND(O8/625*100,0)</x:f>
        <x:v>51</x:v>
      </x:c>
      <x:c r="Q8" s="34" t="str">
        <x:f>IF(P8&gt;=70,"Tier 1",IF(P8&gt;=35,"Tier 2","Tier 3"))</x:f>
        <x:v>Tier 2</x:v>
      </x:c>
      <x:c r="R8" s="32" t="str">
        <x:v>0–6 months</x:v>
      </x:c>
      <x:c r="S8" s="32" t="str">
        <x:v>Yes: start with RAG/document comparison using public CMS material; then connect to internal data.</x:v>
      </x:c>
      <x:c r="T8" s="32" t="str">
        <x:v>Partial</x:v>
      </x:c>
      <x:c r="U8" s="32" t="str">
        <x:v>SME validation of extracted changes; reproduce known model impacts; regression tests against prior manual analyses.</x:v>
      </x:c>
      <x:c r="V8" s="32" t="str">
        <x:v>Days from CMS release to quantified impact; analyst hours saved; implementation defects avoided</x:v>
      </x:c>
      <x:c r="W8" s="32" t="str">
        <x:v>Approved CMS source library; versioned internal methodology; access to model simulation data.</x:v>
      </x:c>
      <x:c r="X8" s="66" t="n">
        <x:f>RANK(P8,$P$5:$P$16,0)+COUNTIF($P$5:P8,P8)-1</x:f>
        <x:v>7</x:v>
      </x:c>
    </x:row>
    <x:row r="9" ht="120" customHeight="1">
      <x:c r="A9" s="34" t="n">
        <x:v>5</x:v>
      </x:c>
      <x:c r="B9" s="32" t="str">
        <x:v>Stars Performance Investigator</x:v>
      </x:c>
      <x:c r="C9" s="32" t="str">
        <x:v>Stars / Quality</x:v>
      </x:c>
      <x:c r="D9" s="32" t="str">
        <x:v>Explaining provider or market performance changes requires manual review of adherence, recoverability, member mix, outreach, and historical patterns.</x:v>
      </x:c>
      <x:c r="E9" s="32" t="str">
        <x:v>LLM analytics + time-series/predictive ML + RAG</x:v>
      </x:c>
      <x:c r="F9" s="32" t="str">
        <x:v>Why is this provider's adherence declining, which members remain recoverable, and what should we prioritize next?</x:v>
      </x:c>
      <x:c r="G9" s="32" t="str">
        <x:v>Select provider/market → retrieve current and historical Stars metrics → identify member-level drivers → calculate recoverability/risk → compare to peer patterns → summarize root causes → prioritize actions and at-risk members.</x:v>
      </x:c>
      <x:c r="H9" s="32" t="str">
        <x:v>Redshift; Python; ML models; enterprise LLM; RAG over CMS/Stars methodology; embeddings for similarity; internal dashboard/app</x:v>
      </x:c>
      <x:c r="I9" s="32" t="str">
        <x:v>PDC/Stars history; member-level adherence; pharmacy; PCP attribution; outreach; provider hierarchy; CMS methodology</x:v>
      </x:c>
      <x:c r="J9" s="32" t="str">
        <x:v>Improve quality performance and bonus potential; focus interventions; reduce manual investigation; identify early deterioration.</x:v>
      </x:c>
      <x:c r="K9" s="34" t="n">
        <x:v>5</x:v>
      </x:c>
      <x:c r="L9" s="34" t="n">
        <x:v>5</x:v>
      </x:c>
      <x:c r="M9" s="34" t="n">
        <x:v>4</x:v>
      </x:c>
      <x:c r="N9" s="34" t="n">
        <x:v>5</x:v>
      </x:c>
      <x:c r="O9" s="34" t="n">
        <x:f>K9*L9*M9*N9</x:f>
        <x:v>500</x:v>
      </x:c>
      <x:c r="P9" s="34" t="n">
        <x:f>ROUND(O9/625*100,0)</x:f>
        <x:v>80</x:v>
      </x:c>
      <x:c r="Q9" s="34" t="str">
        <x:f>IF(P9&gt;=70,"Tier 1",IF(P9&gt;=35,"Tier 2","Tier 3"))</x:f>
        <x:v>Tier 1</x:v>
      </x:c>
      <x:c r="R9" s="32" t="str">
        <x:v>0–6 months pilot</x:v>
      </x:c>
      <x:c r="S9" s="32" t="str">
        <x:v>Partial: use current Stars data to benchmark AI-generated explanations against analyst conclusions.</x:v>
      </x:c>
      <x:c r="T9" s="32" t="str">
        <x:v>Yes</x:v>
      </x:c>
      <x:c r="U9" s="32" t="str">
        <x:v>Reproduce known drivers; back-test predictions; validate recoverability calculations; measure intervention lift.</x:v>
      </x:c>
      <x:c r="V9" s="32" t="str">
        <x:v>PDC/Stars lift; recoverable gaps closed; hours saved; early-risk detection lead time</x:v>
      </x:c>
      <x:c r="W9" s="32" t="str">
        <x:v>Stable member-level Stars snapshots; outreach/intervention history; agreed definitions.</x:v>
      </x:c>
      <x:c r="X9" s="66" t="n">
        <x:f>RANK(P9,$P$5:$P$16,0)+COUNTIF($P$5:P9,P9)-1</x:f>
        <x:v>3</x:v>
      </x:c>
    </x:row>
    <x:row r="10" ht="120" customHeight="1">
      <x:c r="A10" s="34" t="n">
        <x:v>6</x:v>
      </x:c>
      <x:c r="B10" s="32" t="str">
        <x:v>Provider Behavior Profiling</x:v>
      </x:c>
      <x:c r="C10" s="32" t="str">
        <x:v>Provider Intelligence</x:v>
      </x:c>
      <x:c r="D10" s="32" t="str">
        <x:v>Traditional dashboards show metrics but do not readily reveal which providers behave similarly or which behaviors differentiate high performers.</x:v>
      </x:c>
      <x:c r="E10" s="32" t="str">
        <x:v>Embeddings + clustering + similarity search + explainable ML</x:v>
      </x:c>
      <x:c r="F10" s="32" t="str">
        <x:v>Which physicians behave like our highest-performing providers, and what behaviors distinguish 4.5+ Star performers?</x:v>
      </x:c>
      <x:c r="G10" s="32" t="str">
        <x:v>Build provider feature profiles → normalize structured metrics and qualitative interactions → create embeddings/features → cluster providers → identify nearest peers/outliers → explain differentiating behaviors → surface tailored engagement recommendations.</x:v>
      </x:c>
      <x:c r="H10" s="32" t="str">
        <x:v>Python; scikit-learn/XGBoost; embedding model; vector database/OpenSearch/pgvector; Redshift; LLM for narrative explanation; visualization layer</x:v>
      </x:c>
      <x:c r="I10" s="32" t="str">
        <x:v>Stars; RAF; utilization; referrals; member mix; practice attributes; engagement history; RME notes; market data</x:v>
      </x:c>
      <x:c r="J10" s="32" t="str">
        <x:v>Improve provider engagement effectiveness; transfer high-performing behaviors; target interventions; identify hidden performance patterns.</x:v>
      </x:c>
      <x:c r="K10" s="34" t="n">
        <x:v>4</x:v>
      </x:c>
      <x:c r="L10" s="34" t="n">
        <x:v>4</x:v>
      </x:c>
      <x:c r="M10" s="34" t="n">
        <x:v>5</x:v>
      </x:c>
      <x:c r="N10" s="34" t="n">
        <x:v>5</x:v>
      </x:c>
      <x:c r="O10" s="34" t="n">
        <x:f>K10*L10*M10*N10</x:f>
        <x:v>400</x:v>
      </x:c>
      <x:c r="P10" s="34" t="n">
        <x:f>ROUND(O10/625*100,0)</x:f>
        <x:v>64</x:v>
      </x:c>
      <x:c r="Q10" s="34" t="str">
        <x:f>IF(P10&gt;=70,"Tier 1",IF(P10&gt;=35,"Tier 2","Tier 3"))</x:f>
        <x:v>Tier 2</x:v>
      </x:c>
      <x:c r="R10" s="32" t="str">
        <x:v>3–9 months</x:v>
      </x:c>
      <x:c r="S10" s="32" t="str">
        <x:v>Yes: structured feature clustering can begin without LLM; add embeddings/notes after governance approval.</x:v>
      </x:c>
      <x:c r="T10" s="32" t="str">
        <x:v>Yes</x:v>
      </x:c>
      <x:c r="U10" s="32" t="str">
        <x:v>Cluster stability; SME interpretability; predictive lift vs simple segmentation; engagement response by segment.</x:v>
      </x:c>
      <x:c r="V10" s="32" t="str">
        <x:v>Engagement lift; performance improvement by segment; intervention response; provider coverage per RME</x:v>
      </x:c>
      <x:c r="W10" s="32" t="str">
        <x:v>Provider engagement/history data; enough longitudinal outcomes; common provider feature definitions.</x:v>
      </x:c>
      <x:c r="X10" s="66" t="n">
        <x:f>RANK(P10,$P$5:$P$16,0)+COUNTIF($P$5:P10,P10)-1</x:f>
        <x:v>4</x:v>
      </x:c>
    </x:row>
    <x:row r="11" ht="120" customHeight="1">
      <x:c r="A11" s="34" t="n">
        <x:v>7</x:v>
      </x:c>
      <x:c r="B11" s="32" t="str">
        <x:v>New-Market Provider Engagement Prediction</x:v>
      </x:c>
      <x:c r="C11" s="32" t="str">
        <x:v>Growth / Provider Strategy</x:v>
      </x:c>
      <x:c r="D11" s="32" t="str">
        <x:v>When entering a new market, CareAllies has limited ability to predict which providers will be easy, moderate, or difficult to engage.</x:v>
      </x:c>
      <x:c r="E11" s="32" t="str">
        <x:v>Predictive ML + similarity embeddings + provider segmentation</x:v>
      </x:c>
      <x:c r="F11" s="32" t="str">
        <x:v>Before launch, which providers are likely to engage successfully and where will we need more intensive resources?</x:v>
      </x:c>
      <x:c r="G11" s="32" t="str">
        <x:v>Profile existing providers and engagement outcomes → learn segments/outcome drivers → collect new-market provider attributes → map to similar existing profiles → predict engagement difficulty → estimate staffing/approach → refine with actual outcomes.</x:v>
      </x:c>
      <x:c r="H11" s="32" t="str">
        <x:v>Python; XGBoost/scikit-learn; embeddings/vector search; external/provider reference data; Redshift; geospatial features; LLM narrative layer</x:v>
      </x:c>
      <x:c r="I11" s="32" t="str">
        <x:v>Historical provider engagement; demographics; affiliation; practice size/type; specialty; market; performance; outreach history</x:v>
      </x:c>
      <x:c r="J11" s="32" t="str">
        <x:v>Improve market-entry planning; target contracting/engagement resources; reduce acquisition cost; accelerate VBC adoption.</x:v>
      </x:c>
      <x:c r="K11" s="34" t="n">
        <x:v>5</x:v>
      </x:c>
      <x:c r="L11" s="34" t="n">
        <x:v>3</x:v>
      </x:c>
      <x:c r="M11" s="34" t="n">
        <x:v>5</x:v>
      </x:c>
      <x:c r="N11" s="34" t="n">
        <x:v>5</x:v>
      </x:c>
      <x:c r="O11" s="34" t="n">
        <x:f>K11*L11*M11*N11</x:f>
        <x:v>375</x:v>
      </x:c>
      <x:c r="P11" s="34" t="n">
        <x:f>ROUND(O11/625*100,0)</x:f>
        <x:v>60</x:v>
      </x:c>
      <x:c r="Q11" s="34" t="str">
        <x:f>IF(P11&gt;=70,"Tier 1",IF(P11&gt;=35,"Tier 2","Tier 3"))</x:f>
        <x:v>Tier 2</x:v>
      </x:c>
      <x:c r="R11" s="32" t="str">
        <x:v>6–12 months</x:v>
      </x:c>
      <x:c r="S11" s="32" t="str">
        <x:v>Partial: retrospective back-test on prior market launches.</x:v>
      </x:c>
      <x:c r="T11" s="32" t="str">
        <x:v>Yes</x:v>
      </x:c>
      <x:c r="U11" s="32" t="str">
        <x:v>Back-test against known engagement outcomes; calibration by market; monitor fairness and drift.</x:v>
      </x:c>
      <x:c r="V11" s="32" t="str">
        <x:v>Prediction accuracy; time-to-engagement; staffing efficiency; market ramp speed; provider conversion</x:v>
      </x:c>
      <x:c r="W11" s="32" t="str">
        <x:v>Historical engagement labels; comparable new-market provider data; governance for external data.</x:v>
      </x:c>
      <x:c r="X11" s="66" t="n">
        <x:f>RANK(P11,$P$5:$P$16,0)+COUNTIF($P$5:P11,P11)-1</x:f>
        <x:v>5</x:v>
      </x:c>
    </x:row>
    <x:row r="12" ht="120" customHeight="1">
      <x:c r="A12" s="34" t="n">
        <x:v>8</x:v>
      </x:c>
      <x:c r="B12" s="32" t="str">
        <x:v>AI-Enabled Management of Under-Managed Groups</x:v>
      </x:c>
      <x:c r="C12" s="32" t="str">
        <x:v>Operations / Growth</x:v>
      </x:c>
      <x:c r="D12" s="32" t="str">
        <x:v>Scaling VBC to substantially more lives and providers using today's resource-intensive operating model may require proportional headcount growth.</x:v>
      </x:c>
      <x:c r="E12" s="32" t="str">
        <x:v>AI prioritization + agentic workflow + automated outreach + human-in-the-loop</x:v>
      </x:c>
      <x:c r="F12" s="32" t="str">
        <x:v>Can AI help CareAllies manage previously under-managed groups with materially less manual effort while preserving or improving outcomes?</x:v>
      </x:c>
      <x:c r="G12" s="32" t="str">
        <x:v>Continuously monitor group/provider/member signals → prioritize exceptions/opportunities → generate outreach/prep → automate low-risk follow-up → route complex/high-value items to staff → track response/outcome → learn which interventions work.</x:v>
      </x:c>
      <x:c r="H12" s="32" t="str">
        <x:v>Enterprise LLM; predictive ML; workflow/orchestration; CRM/API integration; RAG; secure messaging/call tools where approved; dashboards; event monitoring</x:v>
      </x:c>
      <x:c r="I12" s="32" t="str">
        <x:v>Provider/member performance; outreach history; care gaps; utilization; risk; Stars; contracts; workflow status</x:v>
      </x:c>
      <x:c r="J12" s="32" t="str">
        <x:v>Increase lives/providers managed per employee; expand addressable VBC footprint; lower SG&amp;A per member; improve outcomes in unmanaged populations.</x:v>
      </x:c>
      <x:c r="K12" s="34" t="n">
        <x:v>5</x:v>
      </x:c>
      <x:c r="L12" s="34" t="n">
        <x:v>3</x:v>
      </x:c>
      <x:c r="M12" s="34" t="n">
        <x:v>5</x:v>
      </x:c>
      <x:c r="N12" s="34" t="n">
        <x:v>5</x:v>
      </x:c>
      <x:c r="O12" s="34" t="n">
        <x:f>K12*L12*M12*N12</x:f>
        <x:v>375</x:v>
      </x:c>
      <x:c r="P12" s="34" t="n">
        <x:f>ROUND(O12/625*100,0)</x:f>
        <x:v>60</x:v>
      </x:c>
      <x:c r="Q12" s="34" t="str">
        <x:f>IF(P12&gt;=70,"Tier 1",IF(P12&gt;=35,"Tier 2","Tier 3"))</x:f>
        <x:v>Tier 2</x:v>
      </x:c>
      <x:c r="R12" s="32" t="str">
        <x:v>6–18 months</x:v>
      </x:c>
      <x:c r="S12" s="32" t="str">
        <x:v>Start with decision support/prioritization before automated outreach.</x:v>
      </x:c>
      <x:c r="T12" s="32" t="str">
        <x:v>Yes</x:v>
      </x:c>
      <x:c r="U12" s="32" t="str">
        <x:v>Pilot control vs AI-assisted teams; measure quality, provider satisfaction, errors, escalations, and staff capacity.</x:v>
      </x:c>
      <x:c r="V12" s="32" t="str">
        <x:v>Lives/provider panels per FTE; SG&amp;A PMPM; outreach conversion; quality/risk outcome lift</x:v>
      </x:c>
      <x:c r="W12" s="32" t="str">
        <x:v>Workflow integrations; approved communication automation; robust governance; operational redesign.</x:v>
      </x:c>
      <x:c r="X12" s="66" t="n">
        <x:f>RANK(P12,$P$5:$P$16,0)+COUNTIF($P$5:P12,P12)-1</x:f>
        <x:v>6</x:v>
      </x:c>
    </x:row>
    <x:row r="13" ht="120" customHeight="1">
      <x:c r="A13" s="34" t="n">
        <x:v>9</x:v>
      </x:c>
      <x:c r="B13" s="32" t="str">
        <x:v>Enterprise Knowledge &amp; Analytics Copilot</x:v>
      </x:c>
      <x:c r="C13" s="32" t="str">
        <x:v>Knowledge / Operations</x:v>
      </x:c>
      <x:c r="D13" s="32" t="str">
        <x:v>CareAllies knowledge is fragmented across SOPs, data dictionaries, methodologies, CMS guidance, reports, and individual expertise.</x:v>
      </x:c>
      <x:c r="E13" s="32" t="str">
        <x:v>RAG + enterprise search + governed natural-language analytics</x:v>
      </x:c>
      <x:c r="F13" s="32" t="str">
        <x:v>How is this metric calculated, what changed, and which reports/processes are affected?</x:v>
      </x:c>
      <x:c r="G13" s="32" t="str">
        <x:v>Ingest/version approved documents → chunk and embed → retrieve relevant sources for user question → generate cited answer → optionally run governed data query → present answer with lineage/caveats → capture feedback.</x:v>
      </x:c>
      <x:c r="H13" s="32" t="str">
        <x:v>Enterprise LLM; RAG; vector search; S3/SharePoint/document store; embeddings; access-control metadata; SQL tool calling; internal web UI</x:v>
      </x:c>
      <x:c r="I13" s="32" t="str">
        <x:v>SOPs; data dictionaries; methodologies; CMS guidance; prior analyses; FAQs; approved meeting decisions; curated datasets</x:v>
      </x:c>
      <x:c r="J13" s="32" t="str">
        <x:v>Reduce research time; preserve institutional knowledge; accelerate onboarding; reduce inconsistent answers; enable self-service analytics.</x:v>
      </x:c>
      <x:c r="K13" s="34" t="n">
        <x:v>4</x:v>
      </x:c>
      <x:c r="L13" s="34" t="n">
        <x:v>5</x:v>
      </x:c>
      <x:c r="M13" s="34" t="n">
        <x:v>3</x:v>
      </x:c>
      <x:c r="N13" s="34" t="n">
        <x:v>4</x:v>
      </x:c>
      <x:c r="O13" s="34" t="n">
        <x:f>K13*L13*M13*N13</x:f>
        <x:v>240</x:v>
      </x:c>
      <x:c r="P13" s="34" t="n">
        <x:f>ROUND(O13/625*100,0)</x:f>
        <x:v>38</x:v>
      </x:c>
      <x:c r="Q13" s="34" t="str">
        <x:f>IF(P13&gt;=70,"Tier 1",IF(P13&gt;=35,"Tier 2","Tier 3"))</x:f>
        <x:v>Tier 2</x:v>
      </x:c>
      <x:c r="R13" s="32" t="str">
        <x:v>0–90 days prototype</x:v>
      </x:c>
      <x:c r="S13" s="32" t="str">
        <x:v>Yes: easiest RAG proof of concept using non-PHI internal documentation.</x:v>
      </x:c>
      <x:c r="T13" s="32" t="str">
        <x:v>Partial</x:v>
      </x:c>
      <x:c r="U13" s="32" t="str">
        <x:v>Citation correctness; answer groundedness; SME acceptance; retrieval relevance; no-answer behavior when evidence is absent.</x:v>
      </x:c>
      <x:c r="V13" s="32" t="str">
        <x:v>Search/research time saved; answer accuracy; usage; repeated questions deflected; onboarding time</x:v>
      </x:c>
      <x:c r="W13" s="32" t="str">
        <x:v>Curated document corpus; permissions metadata; content owners; version control.</x:v>
      </x:c>
      <x:c r="X13" s="66" t="n">
        <x:f>RANK(P13,$P$5:$P$16,0)+COUNTIF($P$5:P13,P13)-1</x:f>
        <x:v>9</x:v>
      </x:c>
    </x:row>
    <x:row r="14" ht="120" customHeight="1">
      <x:c r="A14" s="34" t="n">
        <x:v>10</x:v>
      </x:c>
      <x:c r="B14" s="32" t="str">
        <x:v>Contract Intelligence</x:v>
      </x:c>
      <x:c r="C14" s="32" t="str">
        <x:v>Finance / Operations</x:v>
      </x:c>
      <x:c r="D14" s="32" t="str">
        <x:v>Contract terms, performance obligations, and market-specific provisions can require time-consuming manual review and reconciliation.</x:v>
      </x:c>
      <x:c r="E14" s="32" t="str">
        <x:v>Contract RAG + clause extraction + structured comparison</x:v>
      </x:c>
      <x:c r="F14" s="32" t="str">
        <x:v>Which contract provisions explain this financial result, and how do the terms differ across markets or provider groups?</x:v>
      </x:c>
      <x:c r="G14" s="32" t="str">
        <x:v>Ingest executed contracts/amendments → extract clauses and metadata → classify obligations/rates/thresholds → retrieve relevant terms → compare across contracts → connect to performance data → flag inconsistencies or questions.</x:v>
      </x:c>
      <x:c r="H14" s="32" t="str">
        <x:v>Enterprise LLM; RAG; document AI; vector search; structured clause database; Python/SQL; secure contract repository</x:v>
      </x:c>
      <x:c r="I14" s="32" t="str">
        <x:v>Contracts; amendments; fee schedules; performance results; provider/market metadata; finance definitions</x:v>
      </x:c>
      <x:c r="J14" s="32" t="str">
        <x:v>Reduce contract research effort; identify missed obligations/opportunities; improve financial reconciliation; reduce interpretation inconsistency.</x:v>
      </x:c>
      <x:c r="K14" s="34" t="n">
        <x:v>4</x:v>
      </x:c>
      <x:c r="L14" s="34" t="n">
        <x:v>4</x:v>
      </x:c>
      <x:c r="M14" s="34" t="n">
        <x:v>3</x:v>
      </x:c>
      <x:c r="N14" s="34" t="n">
        <x:v>4</x:v>
      </x:c>
      <x:c r="O14" s="34" t="n">
        <x:f>K14*L14*M14*N14</x:f>
        <x:v>192</x:v>
      </x:c>
      <x:c r="P14" s="34" t="n">
        <x:f>ROUND(O14/625*100,0)</x:f>
        <x:v>31</x:v>
      </x:c>
      <x:c r="Q14" s="34" t="str">
        <x:f>IF(P14&gt;=70,"Tier 1",IF(P14&gt;=35,"Tier 2","Tier 3"))</x:f>
        <x:v>Tier 3</x:v>
      </x:c>
      <x:c r="R14" s="32" t="str">
        <x:v>3–9 months</x:v>
      </x:c>
      <x:c r="S14" s="32" t="str">
        <x:v>Yes: pilot on a limited set of de-identified/approved contracts.</x:v>
      </x:c>
      <x:c r="T14" s="32" t="str">
        <x:v>Partial</x:v>
      </x:c>
      <x:c r="U14" s="32" t="str">
        <x:v>Legal/finance SME review; clause extraction accuracy; citation completeness; reconciliation accuracy.</x:v>
      </x:c>
      <x:c r="V14" s="32" t="str">
        <x:v>Hours saved/review; reconciliation issues found; contract questions answered without escalation</x:v>
      </x:c>
      <x:c r="W14" s="32" t="str">
        <x:v>Contract access/permissions; legal review; versioning and confidentiality controls.</x:v>
      </x:c>
      <x:c r="X14" s="66" t="n">
        <x:f>RANK(P14,$P$5:$P$16,0)+COUNTIF($P$5:P14,P14)-1</x:f>
        <x:v>10</x:v>
      </x:c>
    </x:row>
    <x:row r="15" ht="120" customHeight="1">
      <x:c r="A15" s="34" t="n">
        <x:v>11</x:v>
      </x:c>
      <x:c r="B15" s="32" t="str">
        <x:v>Portable AI-Assisted Analytics Applications</x:v>
      </x:c>
      <x:c r="C15" s="32" t="str">
        <x:v>Analytics Engineering / SG&amp;A</x:v>
      </x:c>
      <x:c r="D15" s="32" t="str">
        <x:v>BI platform limitations can restrict requested functionality, slow delivery, and create dependence on platform-specific capabilities.</x:v>
      </x:c>
      <x:c r="E15" s="32" t="str">
        <x:v>AI-assisted software development + reusable Python/HTML components</x:v>
      </x:c>
      <x:c r="F15" s="32" t="str">
        <x:v>Can we deliver specialized analytical interfaces faster without being constrained by a single BI platform?</x:v>
      </x:c>
      <x:c r="G15" s="32" t="str">
        <x:v>Define business workflow → generate/reuse Python/API/UI components → connect governed datasets → add role-based security → validate outputs → package/host using portable architecture → maintain reusable component library.</x:v>
      </x:c>
      <x:c r="H15" s="32" t="str">
        <x:v>Python; FastAPI/Flask; Streamlit/Dash/React; HTML/CSS/JS; enterprise coding copilot; containers/OpenShift; CI/CD; Redshift APIs</x:v>
      </x:c>
      <x:c r="I15" s="32" t="str">
        <x:v>Existing analytical datasets; business requirements; design patterns; security roles</x:v>
      </x:c>
      <x:c r="J15" s="32" t="str">
        <x:v>Faster delivery; reduced platform constraints; more customizable workflows; portable assets; lower redevelopment effort during migration.</x:v>
      </x:c>
      <x:c r="K15" s="34" t="n">
        <x:v>3</x:v>
      </x:c>
      <x:c r="L15" s="34" t="n">
        <x:v>5</x:v>
      </x:c>
      <x:c r="M15" s="34" t="n">
        <x:v>3</x:v>
      </x:c>
      <x:c r="N15" s="34" t="n">
        <x:v>4</x:v>
      </x:c>
      <x:c r="O15" s="34" t="n">
        <x:f>K15*L15*M15*N15</x:f>
        <x:v>180</x:v>
      </x:c>
      <x:c r="P15" s="34" t="n">
        <x:f>ROUND(O15/625*100,0)</x:f>
        <x:v>29</x:v>
      </x:c>
      <x:c r="Q15" s="34" t="str">
        <x:f>IF(P15&gt;=70,"Tier 1",IF(P15&gt;=35,"Tier 2","Tier 3"))</x:f>
        <x:v>Tier 3</x:v>
      </x:c>
      <x:c r="R15" s="32" t="str">
        <x:v>0–6 months</x:v>
      </x:c>
      <x:c r="S15" s="32" t="str">
        <x:v>Yes: extend existing Python/HTML reporting and internal prototypes.</x:v>
      </x:c>
      <x:c r="T15" s="32" t="str">
        <x:v>No/Partial</x:v>
      </x:c>
      <x:c r="U15" s="32" t="str">
        <x:v>Regression tests vs source data; security testing; usability; performance; maintainability.</x:v>
      </x:c>
      <x:c r="V15" s="32" t="str">
        <x:v>Development cycle time; enhancement backlog reduction; reuse rate; platform cost avoided</x:v>
      </x:c>
      <x:c r="W15" s="32" t="str">
        <x:v>Approved hosting pattern; authentication; support/ownership model; Inavista portability requirements.</x:v>
      </x:c>
      <x:c r="X15" s="66" t="n">
        <x:f>RANK(P15,$P$5:$P$16,0)+COUNTIF($P$5:P15,P15)-1</x:f>
        <x:v>11</x:v>
      </x:c>
    </x:row>
    <x:row r="16" ht="120" customHeight="1">
      <x:c r="A16" s="34" t="n">
        <x:v>12</x:v>
      </x:c>
      <x:c r="B16" s="32" t="str">
        <x:v>Analyst / Operational Co-Worker</x:v>
      </x:c>
      <x:c r="C16" s="32" t="str">
        <x:v>SG&amp;A / Productivity</x:v>
      </x:c>
      <x:c r="D16" s="32" t="str">
        <x:v>Analysts and operational teams spend substantial time on code generation, requirements synthesis, documentation, email follow-up, and repetitive knowledge work.</x:v>
      </x:c>
      <x:c r="E16" s="32" t="str">
        <x:v>Enterprise Copilot + workflow automation + coding assistant</x:v>
      </x:c>
      <x:c r="F16" s="32" t="str">
        <x:v>Which repetitive tasks can be safely accelerated so staff spend more time on interpretation, provider strategy, and higher-value work?</x:v>
      </x:c>
      <x:c r="G16" s="32" t="str">
        <x:v>Identify repetitive tasks → define approved inputs/outputs → use Copilot/LLM templates → automate low-risk steps → require human review where needed → measure time saved and quality → standardize successful workflows.</x:v>
      </x:c>
      <x:c r="H16" s="32" t="str">
        <x:v>Microsoft Copilot; GitHub Copilot if approved; Power Automate/enterprise workflow; Python; approved LLM APIs; email/calendar integrations</x:v>
      </x:c>
      <x:c r="I16" s="32" t="str">
        <x:v>Code; requirements; documentation; non-PHI business content; workflow metadata</x:v>
      </x:c>
      <x:c r="J16" s="32" t="str">
        <x:v>Reduce SG&amp;A effort; accelerate development; improve documentation consistency; increase analyst capacity.</x:v>
      </x:c>
      <x:c r="K16" s="34" t="n">
        <x:v>3</x:v>
      </x:c>
      <x:c r="L16" s="34" t="n">
        <x:v>5</x:v>
      </x:c>
      <x:c r="M16" s="34" t="n">
        <x:v>2</x:v>
      </x:c>
      <x:c r="N16" s="34" t="n">
        <x:v>3</x:v>
      </x:c>
      <x:c r="O16" s="34" t="n">
        <x:f>K16*L16*M16*N16</x:f>
        <x:v>90</x:v>
      </x:c>
      <x:c r="P16" s="34" t="n">
        <x:f>ROUND(O16/625*100,0)</x:f>
        <x:v>14</x:v>
      </x:c>
      <x:c r="Q16" s="34" t="str">
        <x:f>IF(P16&gt;=70,"Tier 1",IF(P16&gt;=35,"Tier 2","Tier 3"))</x:f>
        <x:v>Tier 3</x:v>
      </x:c>
      <x:c r="R16" s="32" t="str">
        <x:v>Immediate / 0–90 days</x:v>
      </x:c>
      <x:c r="S16" s="32" t="str">
        <x:v>Yes: largely available through approved Copilot capabilities.</x:v>
      </x:c>
      <x:c r="T16" s="32" t="str">
        <x:v>No</x:v>
      </x:c>
      <x:c r="U16" s="32" t="str">
        <x:v>Time-motion study; code review; error/rework rate; adoption and satisfaction.</x:v>
      </x:c>
      <x:c r="V16" s="32" t="str">
        <x:v>Hours saved/FTE; cycle time; rework rate; throughput</x:v>
      </x:c>
      <x:c r="W16" s="32" t="str">
        <x:v>Access restoration; approved usage patterns; training and measurement.</x:v>
      </x:c>
      <x:c r="X16" s="66" t="n">
        <x:f>RANK(P16,$P$5:$P$16,0)+COUNTIF($P$5:P16,P16)-1</x:f>
        <x:v>12</x:v>
      </x:c>
    </x:row>
  </x:sheetData>
  <x:mergeCells>
    <x:mergeCell ref="A1:X1"/>
    <x:mergeCell ref="A2:X2"/>
  </x:mergeCells>
  <x:conditionalFormatting sqref="K5:K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5:L16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5:M1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5:N16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P5:P16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5:O16">
    <x:cfRule type="dataBar" priority="6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{C59C0D91-AD06-24A4-77E0-ABB999682196}</x14:id>
        </x:ext>
      </x:extLst>
    </x:cfRule>
  </x:conditionalFormatting>
  <x:conditionalFormatting sqref="Q5:Q16">
    <x:cfRule type="expression" dxfId="0" priority="7">
      <x:formula>Q5="Tier 1"</x:formula>
    </x:cfRule>
    <x:cfRule type="expression" dxfId="1" priority="8">
      <x:formula>Q5="Tier 2"</x:formula>
    </x:cfRule>
    <x:cfRule type="expression" dxfId="2" priority="9">
      <x:formula>Q5="Tier 3"</x:formula>
    </x:cfRule>
  </x:conditionalFormatting>
  <x:dataValidations count="4">
    <x:dataValidation type="list" sqref="K5:K16">
      <x:formula1>"1,2,3,4,5"</x:formula1>
    </x:dataValidation>
    <x:dataValidation type="list" sqref="L5:L16">
      <x:formula1>"1,2,3,4,5"</x:formula1>
    </x:dataValidation>
    <x:dataValidation type="list" sqref="M5:M16">
      <x:formula1>"1,2,3,4,5"</x:formula1>
    </x:dataValidation>
    <x:dataValidation type="list" sqref="N5:N1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9a1c80142f4bb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59C0D91-AD06-24A4-77E0-ABB999682196}">
            <x14:dataBar gradient="1">
              <x14:cfvo type="min"/>
              <x14:cfvo type="max"/>
              <x14:fillColor rgb="FF5B9BD5"/>
            </x14:dataBar>
          </x14:cfRule>
          <xm:sqref>O5:O16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4" hidden="0" customWidth="1"/>
    <x:col min="4" max="4" width="18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3" hidden="0" customWidth="1"/>
    <x:col min="10" max="10" width="14" hidden="0" customWidth="1"/>
    <x:col min="11" max="11" width="14" hidden="0" customWidth="1"/>
    <x:col min="12" max="12" width="3" hidden="0" customWidth="1"/>
    <x:col min="13" max="13" width="3" hidden="0" customWidth="1"/>
    <x:col min="14" max="14" width="3" hidden="0" customWidth="1"/>
  </x:cols>
  <x:sheetData>
    <x:row r="1">
      <x:c r="A1" s="3" t="str">
        <x:v>CareAllies AI Opportunity Portfolio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47" t="str">
        <x:v>Use this page to calibrate the portfolio with leadership. Edit the four 1–5 scores on the Matrix sheet and the ranking updates automatically.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4">
      <x:c r="A4" s="50" t="str">
        <x:v>Total Opportunities</x:v>
      </x:c>
      <x:c r="B4" s="50"/>
      <x:c r="D4" s="50" t="str">
        <x:v>Tier 1 Candidates</x:v>
      </x:c>
      <x:c r="E4" s="50"/>
      <x:c r="G4" s="69" t="str">
        <x:v>Avg. Priority Score</x:v>
      </x:c>
      <x:c r="H4" s="69"/>
      <x:c r="I4" s="50"/>
      <x:c r="J4" s="69" t="str">
        <x:v>Near-Term (≤6 mo)</x:v>
      </x:c>
      <x:c r="K4" s="69"/>
    </x:row>
    <x:row r="5">
      <x:c r="A5" s="55" t="n">
        <x:f>COUNTA('AI Opportunity Matrix'!B5:B16)</x:f>
        <x:v>12</x:v>
      </x:c>
      <x:c r="B5" s="55"/>
      <x:c r="D5" s="55" t="n">
        <x:f>COUNTIF('AI Opportunity Matrix'!Q5:Q16,"Tier 1")</x:f>
        <x:v>3</x:v>
      </x:c>
      <x:c r="E5" s="55"/>
      <x:c r="G5" s="55" t="n">
        <x:f>ROUND(AVERAGE('AI Opportunity Matrix'!P5:P16),0)</x:f>
        <x:v>52</x:v>
      </x:c>
      <x:c r="H5" s="55"/>
      <x:c r="I5" s="55"/>
      <x:c r="J5" s="55" t="n">
        <x:v>8</x:v>
      </x:c>
      <x:c r="K5" s="55"/>
    </x:row>
    <x:row r="6">
      <x:c r="A6" s="55"/>
      <x:c r="B6" s="55"/>
      <x:c r="D6" s="55"/>
      <x:c r="E6" s="55"/>
      <x:c r="G6" s="55"/>
      <x:c r="H6" s="55"/>
      <x:c r="I6" s="55"/>
      <x:c r="J6" s="55"/>
      <x:c r="K6" s="55"/>
    </x:row>
    <x:row r="9">
      <x:c r="A9" s="38" t="str">
        <x:v>Rank</x:v>
      </x:c>
      <x:c r="B9" s="38" t="str">
        <x:v>AI Opportunity</x:v>
      </x:c>
      <x:c r="C9" s="38" t="str">
        <x:v>Domain</x:v>
      </x:c>
      <x:c r="D9" s="38" t="str">
        <x:v>Normalized Score</x:v>
      </x:c>
      <x:c r="E9" s="38" t="str">
        <x:v>Priority Tier</x:v>
      </x:c>
      <x:c r="F9" s="38" t="str">
        <x:v>Suggested Horizon</x:v>
      </x:c>
      <x:c r="H9" t="str">
        <x:v>Opportunity</x:v>
      </x:c>
      <x:c r="I9" t="str">
        <x:v>Score</x:v>
      </x:c>
    </x:row>
    <x:row r="10">
      <x:c r="A10" s="42" t="n">
        <x:v>1</x:v>
      </x:c>
      <x:c r="B10" s="42" t="str">
        <x:f>INDEX('AI Opportunity Matrix'!$B$5:$B$16,MATCH(A10,'AI Opportunity Matrix'!$X$5:$X$16,0))</x:f>
        <x:v>Audit the Auditor</x:v>
      </x:c>
      <x:c r="C10" s="42" t="str">
        <x:f>INDEX('AI Opportunity Matrix'!$C$5:$C$16,MATCH(A10,'AI Opportunity Matrix'!$X$5:$X$16,0))</x:f>
        <x:v>Risk Adjustment</x:v>
      </x:c>
      <x:c r="D10" s="42" t="n">
        <x:f>INDEX('AI Opportunity Matrix'!$P$5:$P$16,MATCH(A10,'AI Opportunity Matrix'!$X$5:$X$16,0))</x:f>
        <x:v>80</x:v>
      </x:c>
      <x:c r="E10" s="42" t="str">
        <x:f>INDEX('AI Opportunity Matrix'!$Q$5:$Q$16,MATCH(A10,'AI Opportunity Matrix'!$X$5:$X$16,0))</x:f>
        <x:v>Tier 1</x:v>
      </x:c>
      <x:c r="F10" s="42" t="str">
        <x:f>INDEX('AI Opportunity Matrix'!$R$5:$R$16,MATCH(A10,'AI Opportunity Matrix'!$X$5:$X$16,0))</x:f>
        <x:v>0–6 months pilot</x:v>
      </x:c>
      <x:c r="H10" t="str">
        <x:f>B10</x:f>
        <x:v>Audit the Auditor</x:v>
      </x:c>
      <x:c r="I10" t="n">
        <x:f>D10</x:f>
        <x:v>80</x:v>
      </x:c>
    </x:row>
    <x:row r="11">
      <x:c r="A11" s="42" t="n">
        <x:v>2</x:v>
      </x:c>
      <x:c r="B11" s="42" t="str">
        <x:f>INDEX('AI Opportunity Matrix'!$B$5:$B$16,MATCH(A11,'AI Opportunity Matrix'!$X$5:$X$16,0))</x:f>
        <x:v>Automated Risk Score Investigator</x:v>
      </x:c>
      <x:c r="C11" s="42" t="str">
        <x:f>INDEX('AI Opportunity Matrix'!$C$5:$C$16,MATCH(A11,'AI Opportunity Matrix'!$X$5:$X$16,0))</x:f>
        <x:v>Risk Adjustment</x:v>
      </x:c>
      <x:c r="D11" s="42" t="n">
        <x:f>INDEX('AI Opportunity Matrix'!$P$5:$P$16,MATCH(A11,'AI Opportunity Matrix'!$X$5:$X$16,0))</x:f>
        <x:v>80</x:v>
      </x:c>
      <x:c r="E11" s="42" t="str">
        <x:f>INDEX('AI Opportunity Matrix'!$Q$5:$Q$16,MATCH(A11,'AI Opportunity Matrix'!$X$5:$X$16,0))</x:f>
        <x:v>Tier 1</x:v>
      </x:c>
      <x:c r="F11" s="42" t="str">
        <x:f>INDEX('AI Opportunity Matrix'!$R$5:$R$16,MATCH(A11,'AI Opportunity Matrix'!$X$5:$X$16,0))</x:f>
        <x:v>0–90 days proof of value</x:v>
      </x:c>
      <x:c r="H11" t="str">
        <x:f>B11</x:f>
        <x:v>Automated Risk Score Investigator</x:v>
      </x:c>
      <x:c r="I11" t="n">
        <x:f>D11</x:f>
        <x:v>80</x:v>
      </x:c>
    </x:row>
    <x:row r="12">
      <x:c r="A12" s="42" t="n">
        <x:v>3</x:v>
      </x:c>
      <x:c r="B12" s="42" t="str">
        <x:f>INDEX('AI Opportunity Matrix'!$B$5:$B$16,MATCH(A12,'AI Opportunity Matrix'!$X$5:$X$16,0))</x:f>
        <x:v>Stars Performance Investigator</x:v>
      </x:c>
      <x:c r="C12" s="42" t="str">
        <x:f>INDEX('AI Opportunity Matrix'!$C$5:$C$16,MATCH(A12,'AI Opportunity Matrix'!$X$5:$X$16,0))</x:f>
        <x:v>Stars / Quality</x:v>
      </x:c>
      <x:c r="D12" s="42" t="n">
        <x:f>INDEX('AI Opportunity Matrix'!$P$5:$P$16,MATCH(A12,'AI Opportunity Matrix'!$X$5:$X$16,0))</x:f>
        <x:v>80</x:v>
      </x:c>
      <x:c r="E12" s="42" t="str">
        <x:f>INDEX('AI Opportunity Matrix'!$Q$5:$Q$16,MATCH(A12,'AI Opportunity Matrix'!$X$5:$X$16,0))</x:f>
        <x:v>Tier 1</x:v>
      </x:c>
      <x:c r="F12" s="42" t="str">
        <x:f>INDEX('AI Opportunity Matrix'!$R$5:$R$16,MATCH(A12,'AI Opportunity Matrix'!$X$5:$X$16,0))</x:f>
        <x:v>0–6 months pilot</x:v>
      </x:c>
      <x:c r="H12" t="str">
        <x:f>B12</x:f>
        <x:v>Stars Performance Investigator</x:v>
      </x:c>
      <x:c r="I12" t="n">
        <x:f>D12</x:f>
        <x:v>80</x:v>
      </x:c>
    </x:row>
    <x:row r="13">
      <x:c r="A13" s="42" t="n">
        <x:v>4</x:v>
      </x:c>
      <x:c r="B13" s="42" t="str">
        <x:f>INDEX('AI Opportunity Matrix'!$B$5:$B$16,MATCH(A13,'AI Opportunity Matrix'!$X$5:$X$16,0))</x:f>
        <x:v>Provider Behavior Profiling</x:v>
      </x:c>
      <x:c r="C13" s="42" t="str">
        <x:f>INDEX('AI Opportunity Matrix'!$C$5:$C$16,MATCH(A13,'AI Opportunity Matrix'!$X$5:$X$16,0))</x:f>
        <x:v>Provider Intelligence</x:v>
      </x:c>
      <x:c r="D13" s="42" t="n">
        <x:f>INDEX('AI Opportunity Matrix'!$P$5:$P$16,MATCH(A13,'AI Opportunity Matrix'!$X$5:$X$16,0))</x:f>
        <x:v>64</x:v>
      </x:c>
      <x:c r="E13" s="42" t="str">
        <x:f>INDEX('AI Opportunity Matrix'!$Q$5:$Q$16,MATCH(A13,'AI Opportunity Matrix'!$X$5:$X$16,0))</x:f>
        <x:v>Tier 2</x:v>
      </x:c>
      <x:c r="F13" s="42" t="str">
        <x:f>INDEX('AI Opportunity Matrix'!$R$5:$R$16,MATCH(A13,'AI Opportunity Matrix'!$X$5:$X$16,0))</x:f>
        <x:v>3–9 months</x:v>
      </x:c>
      <x:c r="H13" t="str">
        <x:f>B13</x:f>
        <x:v>Provider Behavior Profiling</x:v>
      </x:c>
      <x:c r="I13" t="n">
        <x:f>D13</x:f>
        <x:v>64</x:v>
      </x:c>
    </x:row>
    <x:row r="14">
      <x:c r="A14" s="42" t="n">
        <x:v>5</x:v>
      </x:c>
      <x:c r="B14" s="42" t="str">
        <x:f>INDEX('AI Opportunity Matrix'!$B$5:$B$16,MATCH(A14,'AI Opportunity Matrix'!$X$5:$X$16,0))</x:f>
        <x:v>New-Market Provider Engagement Prediction</x:v>
      </x:c>
      <x:c r="C14" s="42" t="str">
        <x:f>INDEX('AI Opportunity Matrix'!$C$5:$C$16,MATCH(A14,'AI Opportunity Matrix'!$X$5:$X$16,0))</x:f>
        <x:v>Growth / Provider Strategy</x:v>
      </x:c>
      <x:c r="D14" s="42" t="n">
        <x:f>INDEX('AI Opportunity Matrix'!$P$5:$P$16,MATCH(A14,'AI Opportunity Matrix'!$X$5:$X$16,0))</x:f>
        <x:v>60</x:v>
      </x:c>
      <x:c r="E14" s="42" t="str">
        <x:f>INDEX('AI Opportunity Matrix'!$Q$5:$Q$16,MATCH(A14,'AI Opportunity Matrix'!$X$5:$X$16,0))</x:f>
        <x:v>Tier 2</x:v>
      </x:c>
      <x:c r="F14" s="42" t="str">
        <x:f>INDEX('AI Opportunity Matrix'!$R$5:$R$16,MATCH(A14,'AI Opportunity Matrix'!$X$5:$X$16,0))</x:f>
        <x:v>6–12 months</x:v>
      </x:c>
      <x:c r="H14" t="str">
        <x:f>B14</x:f>
        <x:v>New-Market Provider Engagement Prediction</x:v>
      </x:c>
      <x:c r="I14" t="n">
        <x:f>D14</x:f>
        <x:v>60</x:v>
      </x:c>
    </x:row>
    <x:row r="15">
      <x:c r="A15" s="42" t="n">
        <x:v>6</x:v>
      </x:c>
      <x:c r="B15" s="42" t="str">
        <x:f>INDEX('AI Opportunity Matrix'!$B$5:$B$16,MATCH(A15,'AI Opportunity Matrix'!$X$5:$X$16,0))</x:f>
        <x:v>AI-Enabled Management of Under-Managed Groups</x:v>
      </x:c>
      <x:c r="C15" s="42" t="str">
        <x:f>INDEX('AI Opportunity Matrix'!$C$5:$C$16,MATCH(A15,'AI Opportunity Matrix'!$X$5:$X$16,0))</x:f>
        <x:v>Operations / Growth</x:v>
      </x:c>
      <x:c r="D15" s="42" t="n">
        <x:f>INDEX('AI Opportunity Matrix'!$P$5:$P$16,MATCH(A15,'AI Opportunity Matrix'!$X$5:$X$16,0))</x:f>
        <x:v>60</x:v>
      </x:c>
      <x:c r="E15" s="42" t="str">
        <x:f>INDEX('AI Opportunity Matrix'!$Q$5:$Q$16,MATCH(A15,'AI Opportunity Matrix'!$X$5:$X$16,0))</x:f>
        <x:v>Tier 2</x:v>
      </x:c>
      <x:c r="F15" s="42" t="str">
        <x:f>INDEX('AI Opportunity Matrix'!$R$5:$R$16,MATCH(A15,'AI Opportunity Matrix'!$X$5:$X$16,0))</x:f>
        <x:v>6–18 months</x:v>
      </x:c>
      <x:c r="H15" t="str">
        <x:f>B15</x:f>
        <x:v>AI-Enabled Management of Under-Managed Groups</x:v>
      </x:c>
      <x:c r="I15" t="n">
        <x:f>D15</x:f>
        <x:v>60</x:v>
      </x:c>
    </x:row>
    <x:row r="16">
      <x:c r="A16" s="42" t="n">
        <x:v>7</x:v>
      </x:c>
      <x:c r="B16" s="42" t="str">
        <x:f>INDEX('AI Opportunity Matrix'!$B$5:$B$16,MATCH(A16,'AI Opportunity Matrix'!$X$5:$X$16,0))</x:f>
        <x:v>CMS Risk Model &amp; Call Letter Intelligence</x:v>
      </x:c>
      <x:c r="C16" s="42" t="str">
        <x:f>INDEX('AI Opportunity Matrix'!$C$5:$C$16,MATCH(A16,'AI Opportunity Matrix'!$X$5:$X$16,0))</x:f>
        <x:v>Risk Adjustment / Strategy</x:v>
      </x:c>
      <x:c r="D16" s="42" t="n">
        <x:f>INDEX('AI Opportunity Matrix'!$P$5:$P$16,MATCH(A16,'AI Opportunity Matrix'!$X$5:$X$16,0))</x:f>
        <x:v>51</x:v>
      </x:c>
      <x:c r="E16" s="42" t="str">
        <x:f>INDEX('AI Opportunity Matrix'!$Q$5:$Q$16,MATCH(A16,'AI Opportunity Matrix'!$X$5:$X$16,0))</x:f>
        <x:v>Tier 2</x:v>
      </x:c>
      <x:c r="F16" s="42" t="str">
        <x:f>INDEX('AI Opportunity Matrix'!$R$5:$R$16,MATCH(A16,'AI Opportunity Matrix'!$X$5:$X$16,0))</x:f>
        <x:v>0–6 months</x:v>
      </x:c>
      <x:c r="H16" t="str">
        <x:f>B16</x:f>
        <x:v>CMS Risk Model &amp; Call Letter Intelligence</x:v>
      </x:c>
      <x:c r="I16" t="n">
        <x:f>D16</x:f>
        <x:v>51</x:v>
      </x:c>
    </x:row>
    <x:row r="17">
      <x:c r="A17" s="42" t="n">
        <x:v>8</x:v>
      </x:c>
      <x:c r="B17" s="42" t="str">
        <x:f>INDEX('AI Opportunity Matrix'!$B$5:$B$16,MATCH(A17,'AI Opportunity Matrix'!$X$5:$X$16,0))</x:f>
        <x:v>Clinical Documentation Intelligence</x:v>
      </x:c>
      <x:c r="C17" s="42" t="str">
        <x:f>INDEX('AI Opportunity Matrix'!$C$5:$C$16,MATCH(A17,'AI Opportunity Matrix'!$X$5:$X$16,0))</x:f>
        <x:v>Risk Adjustment</x:v>
      </x:c>
      <x:c r="D17" s="42" t="n">
        <x:f>INDEX('AI Opportunity Matrix'!$P$5:$P$16,MATCH(A17,'AI Opportunity Matrix'!$X$5:$X$16,0))</x:f>
        <x:v>41</x:v>
      </x:c>
      <x:c r="E17" s="42" t="str">
        <x:f>INDEX('AI Opportunity Matrix'!$Q$5:$Q$16,MATCH(A17,'AI Opportunity Matrix'!$X$5:$X$16,0))</x:f>
        <x:v>Tier 2</x:v>
      </x:c>
      <x:c r="F17" s="42" t="str">
        <x:f>INDEX('AI Opportunity Matrix'!$R$5:$R$16,MATCH(A17,'AI Opportunity Matrix'!$X$5:$X$16,0))</x:f>
        <x:v>0–6 months pilot</x:v>
      </x:c>
      <x:c r="H17" t="str">
        <x:f>B17</x:f>
        <x:v>Clinical Documentation Intelligence</x:v>
      </x:c>
      <x:c r="I17" t="n">
        <x:f>D17</x:f>
        <x:v>41</x:v>
      </x:c>
    </x:row>
    <x:row r="18">
      <x:c r="A18" s="42" t="n">
        <x:v>9</x:v>
      </x:c>
      <x:c r="B18" s="42" t="str">
        <x:f>INDEX('AI Opportunity Matrix'!$B$5:$B$16,MATCH(A18,'AI Opportunity Matrix'!$X$5:$X$16,0))</x:f>
        <x:v>Enterprise Knowledge &amp; Analytics Copilot</x:v>
      </x:c>
      <x:c r="C18" s="42" t="str">
        <x:f>INDEX('AI Opportunity Matrix'!$C$5:$C$16,MATCH(A18,'AI Opportunity Matrix'!$X$5:$X$16,0))</x:f>
        <x:v>Knowledge / Operations</x:v>
      </x:c>
      <x:c r="D18" s="42" t="n">
        <x:f>INDEX('AI Opportunity Matrix'!$P$5:$P$16,MATCH(A18,'AI Opportunity Matrix'!$X$5:$X$16,0))</x:f>
        <x:v>38</x:v>
      </x:c>
      <x:c r="E18" s="42" t="str">
        <x:f>INDEX('AI Opportunity Matrix'!$Q$5:$Q$16,MATCH(A18,'AI Opportunity Matrix'!$X$5:$X$16,0))</x:f>
        <x:v>Tier 2</x:v>
      </x:c>
      <x:c r="F18" s="42" t="str">
        <x:f>INDEX('AI Opportunity Matrix'!$R$5:$R$16,MATCH(A18,'AI Opportunity Matrix'!$X$5:$X$16,0))</x:f>
        <x:v>0–90 days prototype</x:v>
      </x:c>
    </x:row>
    <x:row r="19">
      <x:c r="A19" s="42" t="n">
        <x:v>10</x:v>
      </x:c>
      <x:c r="B19" s="42" t="str">
        <x:f>INDEX('AI Opportunity Matrix'!$B$5:$B$16,MATCH(A19,'AI Opportunity Matrix'!$X$5:$X$16,0))</x:f>
        <x:v>Contract Intelligence</x:v>
      </x:c>
      <x:c r="C19" s="42" t="str">
        <x:f>INDEX('AI Opportunity Matrix'!$C$5:$C$16,MATCH(A19,'AI Opportunity Matrix'!$X$5:$X$16,0))</x:f>
        <x:v>Finance / Operations</x:v>
      </x:c>
      <x:c r="D19" s="42" t="n">
        <x:f>INDEX('AI Opportunity Matrix'!$P$5:$P$16,MATCH(A19,'AI Opportunity Matrix'!$X$5:$X$16,0))</x:f>
        <x:v>31</x:v>
      </x:c>
      <x:c r="E19" s="42" t="str">
        <x:f>INDEX('AI Opportunity Matrix'!$Q$5:$Q$16,MATCH(A19,'AI Opportunity Matrix'!$X$5:$X$16,0))</x:f>
        <x:v>Tier 3</x:v>
      </x:c>
      <x:c r="F19" s="42" t="str">
        <x:f>INDEX('AI Opportunity Matrix'!$R$5:$R$16,MATCH(A19,'AI Opportunity Matrix'!$X$5:$X$16,0))</x:f>
        <x:v>3–9 months</x:v>
      </x:c>
    </x:row>
    <x:row r="20">
      <x:c r="A20" s="42" t="n">
        <x:v>11</x:v>
      </x:c>
      <x:c r="B20" s="42" t="str">
        <x:f>INDEX('AI Opportunity Matrix'!$B$5:$B$16,MATCH(A20,'AI Opportunity Matrix'!$X$5:$X$16,0))</x:f>
        <x:v>Portable AI-Assisted Analytics Applications</x:v>
      </x:c>
      <x:c r="C20" s="42" t="str">
        <x:f>INDEX('AI Opportunity Matrix'!$C$5:$C$16,MATCH(A20,'AI Opportunity Matrix'!$X$5:$X$16,0))</x:f>
        <x:v>Analytics Engineering / SG&amp;A</x:v>
      </x:c>
      <x:c r="D20" s="42" t="n">
        <x:f>INDEX('AI Opportunity Matrix'!$P$5:$P$16,MATCH(A20,'AI Opportunity Matrix'!$X$5:$X$16,0))</x:f>
        <x:v>29</x:v>
      </x:c>
      <x:c r="E20" s="42" t="str">
        <x:f>INDEX('AI Opportunity Matrix'!$Q$5:$Q$16,MATCH(A20,'AI Opportunity Matrix'!$X$5:$X$16,0))</x:f>
        <x:v>Tier 3</x:v>
      </x:c>
      <x:c r="F20" s="42" t="str">
        <x:f>INDEX('AI Opportunity Matrix'!$R$5:$R$16,MATCH(A20,'AI Opportunity Matrix'!$X$5:$X$16,0))</x:f>
        <x:v>0–6 months</x:v>
      </x:c>
    </x:row>
    <x:row r="21">
      <x:c r="A21" s="42" t="n">
        <x:v>12</x:v>
      </x:c>
      <x:c r="B21" s="42" t="str">
        <x:f>INDEX('AI Opportunity Matrix'!$B$5:$B$16,MATCH(A21,'AI Opportunity Matrix'!$X$5:$X$16,0))</x:f>
        <x:v>Analyst / Operational Co-Worker</x:v>
      </x:c>
      <x:c r="C21" s="42" t="str">
        <x:f>INDEX('AI Opportunity Matrix'!$C$5:$C$16,MATCH(A21,'AI Opportunity Matrix'!$X$5:$X$16,0))</x:f>
        <x:v>SG&amp;A / Productivity</x:v>
      </x:c>
      <x:c r="D21" s="42" t="n">
        <x:f>INDEX('AI Opportunity Matrix'!$P$5:$P$16,MATCH(A21,'AI Opportunity Matrix'!$X$5:$X$16,0))</x:f>
        <x:v>14</x:v>
      </x:c>
      <x:c r="E21" s="42" t="str">
        <x:f>INDEX('AI Opportunity Matrix'!$Q$5:$Q$16,MATCH(A21,'AI Opportunity Matrix'!$X$5:$X$16,0))</x:f>
        <x:v>Tier 3</x:v>
      </x:c>
      <x:c r="F21" s="42" t="str">
        <x:f>INDEX('AI Opportunity Matrix'!$R$5:$R$16,MATCH(A21,'AI Opportunity Matrix'!$X$5:$X$16,0))</x:f>
        <x:v>Immediate / 0–90 days</x:v>
      </x:c>
    </x:row>
    <x:row r="23" ht="46" customHeight="1">
      <x:c r="A23" s="62" t="str">
        <x:v>Leadership discussion: Which 2–3 opportunities have the clearest measurable baseline, accessible test data, and enough differentiation to justify a governed AI pilot?</x:v>
      </x:c>
      <x:c r="B23" s="62"/>
      <x:c r="C23" s="62"/>
      <x:c r="D23" s="62"/>
      <x:c r="E23" s="62"/>
      <x:c r="F23" s="62"/>
    </x:row>
  </x:sheetData>
  <x:mergeCells>
    <x:mergeCell ref="A4:B4"/>
    <x:mergeCell ref="A5:B6"/>
    <x:mergeCell ref="D4:E4"/>
    <x:mergeCell ref="D5:E6"/>
    <x:mergeCell ref="A23:F23"/>
    <x:mergeCell ref="A1:N1"/>
    <x:mergeCell ref="A2:N2"/>
    <x:mergeCell ref="G4:H4"/>
    <x:mergeCell ref="G5:H6"/>
    <x:mergeCell ref="J4:K4"/>
    <x:mergeCell ref="J5:K6"/>
  </x:mergeCells>
  <x:conditionalFormatting sqref="D10:D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E10:E21">
    <x:cfRule type="expression" dxfId="3" priority="2">
      <x:formula>E10="Tier 1"</x:formula>
    </x:cfRule>
    <x:cfRule type="expression" dxfId="4" priority="3">
      <x:formula>E10="Tier 2"</x:formula>
    </x:cfRule>
    <x:cfRule type="expression" dxfId="5" priority="4">
      <x:formula>E10="Tier 3"</x:formula>
    </x:cfRule>
  </x:conditionalFormatting>
  <x:pageMargins left="0.7" right="0.7" top="0.75" bottom="0.75" header="0.3" footer="0.3"/>
  <x:drawing xmlns:r="http://schemas.openxmlformats.org/officeDocument/2006/relationships" r:id="Rb73db00930d348eb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32" hidden="0" customWidth="1"/>
    <x:col min="5" max="5" width="32" hidden="0" customWidth="1"/>
    <x:col min="6" max="6" width="34" hidden="0" customWidth="1"/>
  </x:cols>
  <x:sheetData>
    <x:row r="1">
      <x:c r="A1" s="36" t="str">
        <x:v>Scoring Guide &amp; Suggested Interpretation</x:v>
      </x:c>
      <x:c r="B1" s="36"/>
      <x:c r="C1" s="36"/>
      <x:c r="D1" s="36"/>
      <x:c r="E1" s="36"/>
      <x:c r="F1" s="36"/>
    </x:row>
    <x:row r="3" ht="46" customHeight="1">
      <x:c r="A3" s="44" t="str">
        <x:v>Score</x:v>
      </x:c>
      <x:c r="B3" s="44" t="str">
        <x:v>ROI</x:v>
      </x:c>
      <x:c r="C3" s="44" t="str">
        <x:v>Feasibility</x:v>
      </x:c>
      <x:c r="D3" s="44" t="str">
        <x:v>Differentiation</x:v>
      </x:c>
      <x:c r="E3" s="44" t="str">
        <x:v>Strategic Importance</x:v>
      </x:c>
      <x:c r="F3" s="44" t="str">
        <x:v>Interpretation</x:v>
      </x:c>
    </x:row>
    <x:row r="4" ht="46" customHeight="1">
      <x:c r="A4" s="32" t="n">
        <x:v>1</x:v>
      </x:c>
      <x:c r="B4" s="32" t="str">
        <x:v>Low/unclear measurable value</x:v>
      </x:c>
      <x:c r="C4" s="32" t="str">
        <x:v>Major blockers or &gt;18 mo</x:v>
      </x:c>
      <x:c r="D4" s="32" t="str">
        <x:v>Commodity / easily purchased</x:v>
      </x:c>
      <x:c r="E4" s="32" t="str">
        <x:v>Peripheral to strategy</x:v>
      </x:c>
      <x:c r="F4" s="32" t="str">
        <x:v>Do not prioritize without new evidence</x:v>
      </x:c>
    </x:row>
    <x:row r="5" ht="46" customHeight="1">
      <x:c r="A5" s="32" t="n">
        <x:v>2</x:v>
      </x:c>
      <x:c r="B5" s="32" t="str">
        <x:v>Limited or indirect value</x:v>
      </x:c>
      <x:c r="C5" s="32" t="str">
        <x:v>Significant dependencies</x:v>
      </x:c>
      <x:c r="D5" s="32" t="str">
        <x:v>Some uniqueness</x:v>
      </x:c>
      <x:c r="E5" s="32" t="str">
        <x:v>Useful but not strategic</x:v>
      </x:c>
      <x:c r="F5" s="32" t="str">
        <x:v>Backlog / monitor</x:v>
      </x:c>
    </x:row>
    <x:row r="6" ht="46" customHeight="1">
      <x:c r="A6" s="32" t="n">
        <x:v>3</x:v>
      </x:c>
      <x:c r="B6" s="32" t="str">
        <x:v>Moderate savings/revenue potential</x:v>
      </x:c>
      <x:c r="C6" s="32" t="str">
        <x:v>Achievable with moderate effort</x:v>
      </x:c>
      <x:c r="D6" s="32" t="str">
        <x:v>Some CareAllies-specific value</x:v>
      </x:c>
      <x:c r="E6" s="32" t="str">
        <x:v>Supports strategic goals</x:v>
      </x:c>
      <x:c r="F6" s="32" t="str">
        <x:v>Potential Tier 2</x:v>
      </x:c>
    </x:row>
    <x:row r="7" ht="46" customHeight="1">
      <x:c r="A7" s="32" t="n">
        <x:v>4</x:v>
      </x:c>
      <x:c r="B7" s="32" t="str">
        <x:v>High measurable value</x:v>
      </x:c>
      <x:c r="C7" s="32" t="str">
        <x:v>Likely feasible with known tools/data</x:v>
      </x:c>
      <x:c r="D7" s="32" t="str">
        <x:v>Strong business-specific differentiation</x:v>
      </x:c>
      <x:c r="E7" s="32" t="str">
        <x:v>Important to growth/scale</x:v>
      </x:c>
      <x:c r="F7" s="32" t="str">
        <x:v>Strong pilot candidate</x:v>
      </x:c>
    </x:row>
    <x:row r="8" ht="46" customHeight="1">
      <x:c r="A8" s="32" t="n">
        <x:v>5</x:v>
      </x:c>
      <x:c r="B8" s="32" t="str">
        <x:v>Material revenue, quality, or capacity impact</x:v>
      </x:c>
      <x:c r="C8" s="32" t="str">
        <x:v>Can validate quickly / clear path</x:v>
      </x:c>
      <x:c r="D8" s="32" t="str">
        <x:v>Potential proprietary capability / IP</x:v>
      </x:c>
      <x:c r="E8" s="32" t="str">
        <x:v>Core to future VBC operating model</x:v>
      </x:c>
      <x:c r="F8" s="32" t="str">
        <x:v>Top-priority candidate</x:v>
      </x:c>
    </x:row>
    <x:row r="9" ht="32" customHeight="1">
      <x:c r="A9" s="32" t="str"/>
      <x:c r="B9" s="32" t="str"/>
      <x:c r="C9" s="32" t="str"/>
      <x:c r="D9" s="32" t="str"/>
      <x:c r="E9" s="32" t="str"/>
      <x:c r="F9" s="32" t="str"/>
    </x:row>
    <x:row r="10">
      <x:c r="A10" t="str">
        <x:v>Priority formula</x:v>
      </x:c>
      <x:c r="B10" t="str"/>
      <x:c r="C10" t="str">
        <x:v>ROI × Feasibility × Differentiation × Strategic Importance</x:v>
      </x:c>
      <x:c r="D10" t="str"/>
      <x:c r="E10" t="str"/>
      <x:c r="F10" t="str">
        <x:v>Maximum = 625; normalized to 0–100</x:v>
      </x:c>
    </x:row>
    <x:row r="11">
      <x:c r="A11" s="38" t="str">
        <x:v>Priority Tier</x:v>
      </x:c>
      <x:c r="B11" s="38" t="str">
        <x:v>Normalized Score</x:v>
      </x:c>
      <x:c r="C11" s="38" t="str">
        <x:v>Meaning</x:v>
      </x:c>
      <x:c r="D11" s="38" t="str"/>
      <x:c r="E11" s="38" t="str"/>
      <x:c r="F11" s="38" t="str"/>
    </x:row>
    <x:row r="12">
      <x:c r="A12" s="42" t="str">
        <x:v>Tier 1</x:v>
      </x:c>
      <x:c r="B12" s="42" t="str">
        <x:v>70–100</x:v>
      </x:c>
      <x:c r="C12" s="42" t="str">
        <x:v>Highest-priority candidate for validation/pilot</x:v>
      </x:c>
      <x:c r="D12" s="42" t="str"/>
      <x:c r="E12" s="42" t="str"/>
      <x:c r="F12" s="42" t="str"/>
    </x:row>
    <x:row r="13">
      <x:c r="A13" s="42" t="str">
        <x:v>Tier 2</x:v>
      </x:c>
      <x:c r="B13" s="42" t="str">
        <x:v>35–69</x:v>
      </x:c>
      <x:c r="C13" s="42" t="str">
        <x:v>Promising opportunity; validate dependencies/ROI</x:v>
      </x:c>
      <x:c r="D13" s="42" t="str"/>
      <x:c r="E13" s="42" t="str"/>
      <x:c r="F13" s="42" t="str"/>
    </x:row>
    <x:row r="14">
      <x:c r="A14" s="42" t="str">
        <x:v>Tier 3</x:v>
      </x:c>
      <x:c r="B14" s="42" t="str">
        <x:v>&lt;35</x:v>
      </x:c>
      <x:c r="C14" s="42" t="str">
        <x:v>Lower priority or longer-term opportunity</x:v>
      </x:c>
      <x:c r="D14" s="42" t="str"/>
      <x:c r="E14" s="42" t="str"/>
      <x:c r="F14" s="42" t="str"/>
    </x:row>
    <x:row r="15">
      <x:c r="A15" s="42" t="str"/>
      <x:c r="B15" s="42" t="str"/>
      <x:c r="C15" s="42" t="str"/>
      <x:c r="D15" s="42" t="str"/>
      <x:c r="E15" s="42" t="str"/>
      <x:c r="F15" s="42" t="str"/>
    </x:row>
    <x:row r="16">
      <x:c r="A16" s="42" t="str">
        <x:v>Recommended next step</x:v>
      </x:c>
      <x:c r="B16" s="42" t="str"/>
      <x:c r="C16" s="42" t="str">
        <x:v>Re-score as a leadership team, then select 2–3 pilots with clear baseline metrics and available test data.</x:v>
      </x:c>
      <x:c r="D16" s="42" t="str"/>
      <x:c r="E16" s="42" t="str"/>
      <x:c r="F16" s="42" t="str"/>
    </x:row>
    <x:row r="17">
      <x:c r="A17" s="42" t="str">
        <x:v>Important</x:v>
      </x:c>
      <x:c r="B17" s="42" t="str"/>
      <x:c r="C17" s="42" t="str">
        <x:v>Product scoring intentionally penalizes a weak dimension. A use case needs balanced business value, feasibility, differentiation, and strategic fit to rank highly.</x:v>
      </x:c>
      <x:c r="D17" s="42" t="str"/>
      <x:c r="E17" s="42" t="str"/>
      <x:c r="F17" s="42" t="str"/>
    </x:row>
  </x:sheetData>
  <x:mergeCells>
    <x:mergeCell ref="A1:F1"/>
  </x:mergeCells>
  <x:pageMargins left="0.7" right="0.7" top="0.75" bottom="0.75" header="0.3" footer="0.3"/>
</x:worksheet>
</file>