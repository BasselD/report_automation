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d8ba74ed041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_Calculator" sheetId="1" r:id="R471d9396f2724ba5"/>
    <x:sheet xmlns:r="http://schemas.openxmlformats.org/officeDocument/2006/relationships" name="Data_Dictionary" sheetId="2" r:id="R424df0125789443a"/>
    <x:sheet xmlns:r="http://schemas.openxmlformats.org/officeDocument/2006/relationships" name="SQL_Query" sheetId="3" r:id="R81a97b9793d34c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yy"/>
    <x:numFmt numFmtId="201" formatCode="0.0%"/>
    <x:numFmt numFmtId="202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0F172A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3B57"/>
      </x:patternFill>
    </x:fill>
    <x:fill>
      <x:patternFill patternType="solid">
        <x:fgColor rgb="FFE0F2FE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CA5A5"/>
        </x:patternFill>
      </x:fill>
    </x:dxf>
    <x:dxf>
      <x:font>
        <x:b/>
        <x:color rgb="FF991B1B"/>
      </x:font>
      <x:fill>
        <x:patternFill patternType="solid">
          <x:bgColor rgb="FFFCA5A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aaa52733c84400" /><Relationship Type="http://schemas.openxmlformats.org/officeDocument/2006/relationships/theme" Target="/xl/theme/theme1.xml" Id="Rd0e1cd8f7d374923" /><Relationship Type="http://schemas.openxmlformats.org/officeDocument/2006/relationships/sharedStrings" Target="/xl/sharedStrings.xml" Id="R3b028bb6d51a47d7" /><Relationship Type="http://schemas.openxmlformats.org/officeDocument/2006/relationships/worksheet" Target="/xl/worksheets/sheet1.xml" Id="R471d9396f2724ba5" /><Relationship Type="http://schemas.openxmlformats.org/officeDocument/2006/relationships/worksheet" Target="/xl/worksheets/sheet2.xml" Id="R424df0125789443a" /><Relationship Type="http://schemas.openxmlformats.org/officeDocument/2006/relationships/worksheet" Target="/xl/worksheets/sheet3.xml" Id="R81a97b9793d34c14" /></Relationships>
</file>

<file path=xl/tables/table1.xml><?xml version="1.0" encoding="utf-8"?>
<x:table xmlns:x="http://schemas.openxmlformats.org/spreadsheetml/2006/main" id="1" name="QACalculatorTable" displayName="QACalculatorTable" ref="A4:Y100" headerRowCount="1">
  <x:tableColumns count="25">
    <x:tableColumn id="1" name="MemberID"/>
    <x:tableColumn id="2" name="MedicationClass"/>
    <x:tableColumn id="3" name="PDCCalculationDate"/>
    <x:tableColumn id="4" name="CurrentNumerator"/>
    <x:tableColumn id="5" name="CurrentDenominator"/>
    <x:tableColumn id="6" name="LastFillDateAdjusted"/>
    <x:tableColumn id="7" name="LastDaysSupply"/>
    <x:tableColumn id="8" name="YearEndDate"/>
    <x:tableColumn id="9" name="CurrentPDC"/>
    <x:tableColumn id="10" name="DaysAlreadyMissed"/>
    <x:tableColumn id="11" name="YearEndDenominator"/>
    <x:tableColumn id="12" name="TotalYearlyMissedDayBudget"/>
    <x:tableColumn id="13" name="RemainingMissedDayBudget"/>
    <x:tableColumn id="14" name="MedicationRunoutDate"/>
    <x:tableColumn id="15" name="MedicationRunoutDays"/>
    <x:tableColumn id="16" name="CoveredDaysWithRunout"/>
    <x:tableColumn id="17" name="CoverageGapStartDate"/>
    <x:tableColumn id="18" name="MaxPotentialNumerator"/>
    <x:tableColumn id="19" name="MaxPotentialDenominator"/>
    <x:tableColumn id="20" name="MaximumAchievablePDC"/>
    <x:tableColumn id="21" name="RecoverableFlag"/>
    <x:tableColumn id="22" name="LastImpactRaw"/>
    <x:tableColumn id="23" name="LastImpactDate"/>
    <x:tableColumn id="24" name="DaysUntilUnrecoverable"/>
    <x:tableColumn id="25" name="DisplayText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E21" headerRowCount="1">
  <x:tableColumns count="5">
    <x:tableColumn id="1" name="Column"/>
    <x:tableColumn id="2" name="Type"/>
    <x:tableColumn id="3" name="Formula / SQL Logic"/>
    <x:tableColumn id="4" name="Business Meaning"/>
    <x:tableColumn id="5" name="QA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9e676937ff4a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8dbd0c4ba247b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7" hidden="0" customWidth="1"/>
    <x:col min="5" max="5" width="18" hidden="0" customWidth="1"/>
    <x:col min="6" max="6" width="20" hidden="0" customWidth="1"/>
    <x:col min="7" max="7" width="15" hidden="0" customWidth="1"/>
    <x:col min="8" max="8" width="14" hidden="0" customWidth="1"/>
    <x:col min="9" max="9" width="12" hidden="0" customWidth="1"/>
    <x:col min="10" max="10" width="16" hidden="0" customWidth="1"/>
    <x:col min="11" max="11" width="18" hidden="0" customWidth="1"/>
    <x:col min="12" max="12" width="24" hidden="0" customWidth="1"/>
    <x:col min="13" max="13" width="23" hidden="0" customWidth="1"/>
    <x:col min="14" max="14" width="20" hidden="0" customWidth="1"/>
    <x:col min="15" max="15" width="18" hidden="0" customWidth="1"/>
    <x:col min="16" max="16" width="22" hidden="0" customWidth="1"/>
    <x:col min="17" max="17" width="20" hidden="0" customWidth="1"/>
    <x:col min="18" max="18" width="20" hidden="0" customWidth="1"/>
    <x:col min="19" max="19" width="21" hidden="0" customWidth="1"/>
    <x:col min="20" max="20" width="18" hidden="0" customWidth="1"/>
    <x:col min="21" max="21" width="15" hidden="0" customWidth="1"/>
    <x:col min="22" max="22" width="16" hidden="0" customWidth="1"/>
    <x:col min="23" max="23" width="16" hidden="0" customWidth="1"/>
    <x:col min="24" max="24" width="22" hidden="0" customWidth="1"/>
    <x:col min="25" max="25" width="28" hidden="0" customWidth="1"/>
  </x:cols>
  <x:sheetData>
    <x:row r="1" ht="28" customHeight="1">
      <x:c r="A1" s="5" t="str">
        <x:v>MAT Adherence QA Calculator - Recoverability &amp; Last Impact Date</x:v>
      </x:c>
      <x:c r="B1" t="str">
        <x:v>MAT Adherence QA Calculator - Recoverability &amp; Last Impact Date</x:v>
      </x:c>
      <x:c r="C1" t="str">
        <x:v>MAT Adherence QA Calculator - Recoverability &amp; Last Impact Date</x:v>
      </x:c>
      <x:c r="D1" t="str">
        <x:v>MAT Adherence QA Calculator - Recoverability &amp; Last Impact Date</x:v>
      </x:c>
      <x:c r="E1" t="str">
        <x:v>MAT Adherence QA Calculator - Recoverability &amp; Last Impact Date</x:v>
      </x:c>
      <x:c r="F1" t="str">
        <x:v>MAT Adherence QA Calculator - Recoverability &amp; Last Impact Date</x:v>
      </x:c>
      <x:c r="G1" t="str">
        <x:v>MAT Adherence QA Calculator - Recoverability &amp; Last Impact Date</x:v>
      </x:c>
      <x:c r="H1" t="str">
        <x:v>MAT Adherence QA Calculator - Recoverability &amp; Last Impact Date</x:v>
      </x:c>
      <x:c r="I1" t="str">
        <x:v>MAT Adherence QA Calculator - Recoverability &amp; Last Impact Date</x:v>
      </x:c>
      <x:c r="J1" t="str">
        <x:v>MAT Adherence QA Calculator - Recoverability &amp; Last Impact Date</x:v>
      </x:c>
      <x:c r="K1" t="str">
        <x:v>MAT Adherence QA Calculator - Recoverability &amp; Last Impact Date</x:v>
      </x:c>
      <x:c r="L1" t="str">
        <x:v>MAT Adherence QA Calculator - Recoverability &amp; Last Impact Date</x:v>
      </x:c>
      <x:c r="M1" t="str">
        <x:v>MAT Adherence QA Calculator - Recoverability &amp; Last Impact Date</x:v>
      </x:c>
      <x:c r="N1" t="str">
        <x:v>MAT Adherence QA Calculator - Recoverability &amp; Last Impact Date</x:v>
      </x:c>
      <x:c r="O1" t="str">
        <x:v>MAT Adherence QA Calculator - Recoverability &amp; Last Impact Date</x:v>
      </x:c>
      <x:c r="P1" t="str">
        <x:v>MAT Adherence QA Calculator - Recoverability &amp; Last Impact Date</x:v>
      </x:c>
      <x:c r="Q1" t="str">
        <x:v>MAT Adherence QA Calculator - Recoverability &amp; Last Impact Date</x:v>
      </x:c>
      <x:c r="R1" t="str">
        <x:v>MAT Adherence QA Calculator - Recoverability &amp; Last Impact Date</x:v>
      </x:c>
      <x:c r="S1" t="str">
        <x:v>MAT Adherence QA Calculator - Recoverability &amp; Last Impact Date</x:v>
      </x:c>
      <x:c r="T1" t="str">
        <x:v>MAT Adherence QA Calculator - Recoverability &amp; Last Impact Date</x:v>
      </x:c>
      <x:c r="U1" t="str">
        <x:v>MAT Adherence QA Calculator - Recoverability &amp; Last Impact Date</x:v>
      </x:c>
      <x:c r="V1" t="str">
        <x:v>MAT Adherence QA Calculator - Recoverability &amp; Last Impact Date</x:v>
      </x:c>
      <x:c r="W1" t="str">
        <x:v>MAT Adherence QA Calculator - Recoverability &amp; Last Impact Date</x:v>
      </x:c>
      <x:c r="X1" t="str">
        <x:v>MAT Adherence QA Calculator - Recoverability &amp; Last Impact Date</x:v>
      </x:c>
      <x:c r="Y1" t="str">
        <x:v>MAT Adherence QA Calculator - Recoverability &amp; Last Impact Date</x:v>
      </x:c>
    </x:row>
    <x:row r="2">
      <x:c r="A2" s="12" t="str">
        <x:v>Edit the yellow input columns. Derived columns calculate the recoverability status, medication on hand, and Last Impact Date.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</x:row>
    <x:row r="4" ht="36" customHeight="1">
      <x:c r="A4" s="20" t="str">
        <x:v>MemberID</x:v>
      </x:c>
      <x:c r="B4" s="20" t="str">
        <x:v>MedicationClass</x:v>
      </x:c>
      <x:c r="C4" s="20" t="str">
        <x:v>PDCCalculationDate</x:v>
      </x:c>
      <x:c r="D4" s="20" t="str">
        <x:v>CurrentNumerator</x:v>
      </x:c>
      <x:c r="E4" s="20" t="str">
        <x:v>CurrentDenominator</x:v>
      </x:c>
      <x:c r="F4" s="20" t="str">
        <x:v>LastFillDateAdjusted</x:v>
      </x:c>
      <x:c r="G4" s="20" t="str">
        <x:v>LastDaysSupply</x:v>
      </x:c>
      <x:c r="H4" s="20" t="str">
        <x:v>YearEndDate</x:v>
      </x:c>
      <x:c r="I4" s="20" t="str">
        <x:v>CurrentPDC</x:v>
      </x:c>
      <x:c r="J4" s="20" t="str">
        <x:v>DaysAlreadyMissed</x:v>
      </x:c>
      <x:c r="K4" s="20" t="str">
        <x:v>YearEndDenominator</x:v>
      </x:c>
      <x:c r="L4" s="20" t="str">
        <x:v>TotalYearlyMissedDayBudget</x:v>
      </x:c>
      <x:c r="M4" s="20" t="str">
        <x:v>RemainingMissedDayBudget</x:v>
      </x:c>
      <x:c r="N4" s="20" t="str">
        <x:v>MedicationRunoutDate</x:v>
      </x:c>
      <x:c r="O4" s="20" t="str">
        <x:v>MedicationRunoutDays</x:v>
      </x:c>
      <x:c r="P4" s="20" t="str">
        <x:v>CoveredDaysWithRunout</x:v>
      </x:c>
      <x:c r="Q4" s="20" t="str">
        <x:v>CoverageGapStartDate</x:v>
      </x:c>
      <x:c r="R4" s="20" t="str">
        <x:v>MaxPotentialNumerator</x:v>
      </x:c>
      <x:c r="S4" s="20" t="str">
        <x:v>MaxPotentialDenominator</x:v>
      </x:c>
      <x:c r="T4" s="20" t="str">
        <x:v>MaximumAchievablePDC</x:v>
      </x:c>
      <x:c r="U4" s="20" t="str">
        <x:v>RecoverableFlag</x:v>
      </x:c>
      <x:c r="V4" s="20" t="str">
        <x:v>LastImpactRaw</x:v>
      </x:c>
      <x:c r="W4" s="20" t="str">
        <x:v>LastImpactDate</x:v>
      </x:c>
      <x:c r="X4" s="20" t="str">
        <x:v>DaysUntilUnrecoverable</x:v>
      </x:c>
      <x:c r="Y4" s="20" t="str">
        <x:v>DisplayText</x:v>
      </x:c>
    </x:row>
    <x:row r="5">
      <x:c r="A5" s="34" t="str">
        <x:v>Example_Overlap_OnHand</x:v>
      </x:c>
      <x:c r="B5" s="34" t="str">
        <x:v>STATIN</x:v>
      </x:c>
      <x:c r="C5" s="35" t="n">
        <x:v>46174</x:v>
      </x:c>
      <x:c r="D5" s="36" t="n">
        <x:v>106</x:v>
      </x:c>
      <x:c r="E5" s="36" t="n">
        <x:v>106</x:v>
      </x:c>
      <x:c r="F5" s="35" t="n">
        <x:v>46168</x:v>
      </x:c>
      <x:c r="G5" s="36" t="n">
        <x:v>30</x:v>
      </x:c>
      <x:c r="H5" s="35" t="n">
        <x:v>46387</x:v>
      </x:c>
      <x:c r="I5" s="40" t="n">
        <x:f>IFERROR(D5/E5,"")</x:f>
        <x:v>1</x:v>
      </x:c>
      <x:c r="J5" s="41" t="n">
        <x:f>E5-D5</x:f>
        <x:v>0</x:v>
      </x:c>
      <x:c r="K5" s="41" t="n">
        <x:f>E5+(H5-C5)</x:f>
        <x:v>319</x:v>
      </x:c>
      <x:c r="L5" s="41" t="n">
        <x:f>FLOOR(K5*0.2,1)</x:f>
        <x:v>63</x:v>
      </x:c>
      <x:c r="M5" s="41" t="n">
        <x:f>MAX(L5-J5,0)</x:f>
        <x:v>63</x:v>
      </x:c>
      <x:c r="N5" s="42" t="n">
        <x:f>F5+G5-1</x:f>
        <x:v>46197</x:v>
      </x:c>
      <x:c r="O5" s="41" t="n">
        <x:f>MAX(N5-C5,0)</x:f>
        <x:v>23</x:v>
      </x:c>
      <x:c r="P5" s="41" t="n">
        <x:f>D5+O5</x:f>
        <x:v>129</x:v>
      </x:c>
      <x:c r="Q5" s="42" t="n">
        <x:f>MAX(C5,N5+1)</x:f>
        <x:v>46198</x:v>
      </x:c>
      <x:c r="R5" s="41" t="n">
        <x:f>D5+(H5-C5)</x:f>
        <x:v>319</x:v>
      </x:c>
      <x:c r="S5" s="41" t="n">
        <x:f>K5</x:f>
        <x:v>319</x:v>
      </x:c>
      <x:c r="T5" s="40" t="n">
        <x:f>IFERROR(R5/S5,"")</x:f>
        <x:v>1</x:v>
      </x:c>
      <x:c r="U5" s="41" t="n">
        <x:f>IF(T5&lt;0.8,0,1)</x:f>
        <x:v>1</x:v>
      </x:c>
      <x:c r="V5" s="42" t="n">
        <x:f>IF(U5=0,"",Q5+M5)</x:f>
        <x:v>46261</x:v>
      </x:c>
      <x:c r="W5" s="42" t="n">
        <x:f>IF(U5=0,"",MIN(V5,H5))</x:f>
        <x:v>46261</x:v>
      </x:c>
      <x:c r="X5" s="41" t="n">
        <x:f>IF(U5=0,0,W5-C5)</x:f>
        <x:v>87</x:v>
      </x:c>
      <x:c r="Y5" s="43" t="str">
        <x:f>IF(U5=0,"Non-Recoverable",IF(V5&gt;H5,"Safe through EOY","Unrecov in "&amp;X5&amp;"d ("&amp;TEXT(W5,"mm/dd")&amp;")"))</x:f>
        <x:v>Unrecov in 87d (08/27)</x:v>
      </x:c>
    </x:row>
    <x:row r="6">
      <x:c r="A6" s="34" t="str">
        <x:v>Overdue_Recoverable</x:v>
      </x:c>
      <x:c r="B6" s="34" t="str">
        <x:v>DIAB</x:v>
      </x:c>
      <x:c r="C6" s="35" t="n">
        <x:v>46174</x:v>
      </x:c>
      <x:c r="D6" s="36" t="n">
        <x:v>90</x:v>
      </x:c>
      <x:c r="E6" s="36" t="n">
        <x:v>130</x:v>
      </x:c>
      <x:c r="F6" s="35" t="n">
        <x:v>46082</x:v>
      </x:c>
      <x:c r="G6" s="36" t="n">
        <x:v>30</x:v>
      </x:c>
      <x:c r="H6" s="35" t="n">
        <x:v>46387</x:v>
      </x:c>
      <x:c r="I6" s="40" t="n">
        <x:f>IFERROR(D6/E6,"")</x:f>
        <x:v>0.6923076923076923</x:v>
      </x:c>
      <x:c r="J6" s="41" t="n">
        <x:f>E6-D6</x:f>
        <x:v>40</x:v>
      </x:c>
      <x:c r="K6" s="41" t="n">
        <x:f>E6+(H6-C6)</x:f>
        <x:v>343</x:v>
      </x:c>
      <x:c r="L6" s="41" t="n">
        <x:f>FLOOR(K6*0.2,1)</x:f>
        <x:v>68</x:v>
      </x:c>
      <x:c r="M6" s="41" t="n">
        <x:f>MAX(L6-J6,0)</x:f>
        <x:v>28</x:v>
      </x:c>
      <x:c r="N6" s="42" t="n">
        <x:f>F6+G6-1</x:f>
        <x:v>46111</x:v>
      </x:c>
      <x:c r="O6" s="41" t="n">
        <x:f>MAX(N6-C6,0)</x:f>
        <x:v>0</x:v>
      </x:c>
      <x:c r="P6" s="41" t="n">
        <x:f>D6+O6</x:f>
        <x:v>90</x:v>
      </x:c>
      <x:c r="Q6" s="42" t="n">
        <x:f>MAX(C6,N6+1)</x:f>
        <x:v>46174</x:v>
      </x:c>
      <x:c r="R6" s="41" t="n">
        <x:f>D6+(H6-C6)</x:f>
        <x:v>303</x:v>
      </x:c>
      <x:c r="S6" s="41" t="n">
        <x:f>K6</x:f>
        <x:v>343</x:v>
      </x:c>
      <x:c r="T6" s="40" t="n">
        <x:f>IFERROR(R6/S6,"")</x:f>
        <x:v>0.8833819241982507</x:v>
      </x:c>
      <x:c r="U6" s="41" t="n">
        <x:f>IF(T6&lt;0.8,0,1)</x:f>
        <x:v>1</x:v>
      </x:c>
      <x:c r="V6" s="42" t="n">
        <x:f>IF(U6=0,"",Q6+M6)</x:f>
        <x:v>46202</x:v>
      </x:c>
      <x:c r="W6" s="42" t="n">
        <x:f>IF(U6=0,"",MIN(V6,H6))</x:f>
        <x:v>46202</x:v>
      </x:c>
      <x:c r="X6" s="41" t="n">
        <x:f>IF(U6=0,0,W6-C6)</x:f>
        <x:v>28</x:v>
      </x:c>
      <x:c r="Y6" s="43" t="str">
        <x:f>IF(U6=0,"Non-Recoverable",IF(V6&gt;H6,"Safe through EOY","Unrecov in "&amp;X6&amp;"d ("&amp;TEXT(W6,"mm/dd")&amp;")"))</x:f>
        <x:v>Unrecov in 28d (06/29)</x:v>
      </x:c>
    </x:row>
    <x:row r="7">
      <x:c r="A7" s="34" t="str">
        <x:v>OnHand_Recoverable</x:v>
      </x:c>
      <x:c r="B7" s="34" t="str">
        <x:v>ACEARB</x:v>
      </x:c>
      <x:c r="C7" s="35" t="n">
        <x:v>46174</x:v>
      </x:c>
      <x:c r="D7" s="36" t="n">
        <x:v>115</x:v>
      </x:c>
      <x:c r="E7" s="36" t="n">
        <x:v>140</x:v>
      </x:c>
      <x:c r="F7" s="35" t="n">
        <x:v>46162</x:v>
      </x:c>
      <x:c r="G7" s="36" t="n">
        <x:v>90</x:v>
      </x:c>
      <x:c r="H7" s="35" t="n">
        <x:v>46387</x:v>
      </x:c>
      <x:c r="I7" s="40" t="n">
        <x:f>IFERROR(D7/E7,"")</x:f>
        <x:v>0.8214285714285714</x:v>
      </x:c>
      <x:c r="J7" s="41" t="n">
        <x:f>E7-D7</x:f>
        <x:v>25</x:v>
      </x:c>
      <x:c r="K7" s="41" t="n">
        <x:f>E7+(H7-C7)</x:f>
        <x:v>353</x:v>
      </x:c>
      <x:c r="L7" s="41" t="n">
        <x:f>FLOOR(K7*0.2,1)</x:f>
        <x:v>70</x:v>
      </x:c>
      <x:c r="M7" s="41" t="n">
        <x:f>MAX(L7-J7,0)</x:f>
        <x:v>45</x:v>
      </x:c>
      <x:c r="N7" s="42" t="n">
        <x:f>F7+G7-1</x:f>
        <x:v>46251</x:v>
      </x:c>
      <x:c r="O7" s="41" t="n">
        <x:f>MAX(N7-C7,0)</x:f>
        <x:v>77</x:v>
      </x:c>
      <x:c r="P7" s="41" t="n">
        <x:f>D7+O7</x:f>
        <x:v>192</x:v>
      </x:c>
      <x:c r="Q7" s="42" t="n">
        <x:f>MAX(C7,N7+1)</x:f>
        <x:v>46252</x:v>
      </x:c>
      <x:c r="R7" s="41" t="n">
        <x:f>D7+(H7-C7)</x:f>
        <x:v>328</x:v>
      </x:c>
      <x:c r="S7" s="41" t="n">
        <x:f>K7</x:f>
        <x:v>353</x:v>
      </x:c>
      <x:c r="T7" s="40" t="n">
        <x:f>IFERROR(R7/S7,"")</x:f>
        <x:v>0.9291784702549575</x:v>
      </x:c>
      <x:c r="U7" s="41" t="n">
        <x:f>IF(T7&lt;0.8,0,1)</x:f>
        <x:v>1</x:v>
      </x:c>
      <x:c r="V7" s="42" t="n">
        <x:f>IF(U7=0,"",Q7+M7)</x:f>
        <x:v>46297</x:v>
      </x:c>
      <x:c r="W7" s="42" t="n">
        <x:f>IF(U7=0,"",MIN(V7,H7))</x:f>
        <x:v>46297</x:v>
      </x:c>
      <x:c r="X7" s="41" t="n">
        <x:f>IF(U7=0,0,W7-C7)</x:f>
        <x:v>123</x:v>
      </x:c>
      <x:c r="Y7" s="43" t="str">
        <x:f>IF(U7=0,"Non-Recoverable",IF(V7&gt;H7,"Safe through EOY","Unrecov in "&amp;X7&amp;"d ("&amp;TEXT(W7,"mm/dd")&amp;")"))</x:f>
        <x:v>Unrecov in 123d (10/02)</x:v>
      </x:c>
    </x:row>
    <x:row r="8">
      <x:c r="A8" s="34" t="str">
        <x:v>NonRecoverable</x:v>
      </x:c>
      <x:c r="B8" s="34" t="str">
        <x:v>STATIN</x:v>
      </x:c>
      <x:c r="C8" s="35" t="n">
        <x:v>46296</x:v>
      </x:c>
      <x:c r="D8" s="36" t="n">
        <x:v>90</x:v>
      </x:c>
      <x:c r="E8" s="36" t="n">
        <x:v>250</x:v>
      </x:c>
      <x:c r="F8" s="35" t="n">
        <x:v>46174</x:v>
      </x:c>
      <x:c r="G8" s="36" t="n">
        <x:v>30</x:v>
      </x:c>
      <x:c r="H8" s="35" t="n">
        <x:v>46387</x:v>
      </x:c>
      <x:c r="I8" s="40" t="n">
        <x:f>IFERROR(D8/E8,"")</x:f>
        <x:v>0.36</x:v>
      </x:c>
      <x:c r="J8" s="41" t="n">
        <x:f>E8-D8</x:f>
        <x:v>160</x:v>
      </x:c>
      <x:c r="K8" s="41" t="n">
        <x:f>E8+(H8-C8)</x:f>
        <x:v>341</x:v>
      </x:c>
      <x:c r="L8" s="41" t="n">
        <x:f>FLOOR(K8*0.2,1)</x:f>
        <x:v>68</x:v>
      </x:c>
      <x:c r="M8" s="41" t="n">
        <x:f>MAX(L8-J8,0)</x:f>
        <x:v>0</x:v>
      </x:c>
      <x:c r="N8" s="42" t="n">
        <x:f>F8+G8-1</x:f>
        <x:v>46203</x:v>
      </x:c>
      <x:c r="O8" s="41" t="n">
        <x:f>MAX(N8-C8,0)</x:f>
        <x:v>0</x:v>
      </x:c>
      <x:c r="P8" s="41" t="n">
        <x:f>D8+O8</x:f>
        <x:v>90</x:v>
      </x:c>
      <x:c r="Q8" s="42" t="n">
        <x:f>MAX(C8,N8+1)</x:f>
        <x:v>46296</x:v>
      </x:c>
      <x:c r="R8" s="41" t="n">
        <x:f>D8+(H8-C8)</x:f>
        <x:v>181</x:v>
      </x:c>
      <x:c r="S8" s="41" t="n">
        <x:f>K8</x:f>
        <x:v>341</x:v>
      </x:c>
      <x:c r="T8" s="40" t="n">
        <x:f>IFERROR(R8/S8,"")</x:f>
        <x:v>0.530791788856305</x:v>
      </x:c>
      <x:c r="U8" s="41" t="n">
        <x:f>IF(T8&lt;0.8,0,1)</x:f>
        <x:v>0</x:v>
      </x:c>
      <x:c r="V8" s="42" t="str">
        <x:f>IF(U8=0,"",Q8+M8)</x:f>
      </x:c>
      <x:c r="W8" s="42" t="str">
        <x:f>IF(U8=0,"",MIN(V8,H8))</x:f>
      </x:c>
      <x:c r="X8" s="41" t="n">
        <x:f>IF(U8=0,0,W8-C8)</x:f>
        <x:v>0</x:v>
      </x:c>
      <x:c r="Y8" s="43" t="str">
        <x:f>IF(U8=0,"Non-Recoverable",IF(V8&gt;H8,"Safe through EOY","Unrecov in "&amp;X8&amp;"d ("&amp;TEXT(W8,"mm/dd")&amp;")"))</x:f>
        <x:v>Non-Recoverable</x:v>
      </x:c>
    </x:row>
    <x:row r="9">
      <x:c r="A9" s="34" t="str">
        <x:v>Safe_Through_EOY</x:v>
      </x:c>
      <x:c r="B9" s="34" t="str">
        <x:v>DIAB</x:v>
      </x:c>
      <x:c r="C9" s="35" t="n">
        <x:v>46327</x:v>
      </x:c>
      <x:c r="D9" s="36" t="n">
        <x:v>240</x:v>
      </x:c>
      <x:c r="E9" s="36" t="n">
        <x:v>250</x:v>
      </x:c>
      <x:c r="F9" s="35" t="n">
        <x:v>46310</x:v>
      </x:c>
      <x:c r="G9" s="36" t="n">
        <x:v>90</x:v>
      </x:c>
      <x:c r="H9" s="35" t="n">
        <x:v>46387</x:v>
      </x:c>
      <x:c r="I9" s="40" t="n">
        <x:f>IFERROR(D9/E9,"")</x:f>
        <x:v>0.96</x:v>
      </x:c>
      <x:c r="J9" s="41" t="n">
        <x:f>E9-D9</x:f>
        <x:v>10</x:v>
      </x:c>
      <x:c r="K9" s="41" t="n">
        <x:f>E9+(H9-C9)</x:f>
        <x:v>310</x:v>
      </x:c>
      <x:c r="L9" s="41" t="n">
        <x:f>FLOOR(K9*0.2,1)</x:f>
        <x:v>62</x:v>
      </x:c>
      <x:c r="M9" s="41" t="n">
        <x:f>MAX(L9-J9,0)</x:f>
        <x:v>52</x:v>
      </x:c>
      <x:c r="N9" s="42" t="n">
        <x:f>F9+G9-1</x:f>
        <x:v>46399</x:v>
      </x:c>
      <x:c r="O9" s="41" t="n">
        <x:f>MAX(N9-C9,0)</x:f>
        <x:v>72</x:v>
      </x:c>
      <x:c r="P9" s="41" t="n">
        <x:f>D9+O9</x:f>
        <x:v>312</x:v>
      </x:c>
      <x:c r="Q9" s="42" t="n">
        <x:f>MAX(C9,N9+1)</x:f>
        <x:v>46400</x:v>
      </x:c>
      <x:c r="R9" s="41" t="n">
        <x:f>D9+(H9-C9)</x:f>
        <x:v>300</x:v>
      </x:c>
      <x:c r="S9" s="41" t="n">
        <x:f>K9</x:f>
        <x:v>310</x:v>
      </x:c>
      <x:c r="T9" s="40" t="n">
        <x:f>IFERROR(R9/S9,"")</x:f>
        <x:v>0.967741935483871</x:v>
      </x:c>
      <x:c r="U9" s="41" t="n">
        <x:f>IF(T9&lt;0.8,0,1)</x:f>
        <x:v>1</x:v>
      </x:c>
      <x:c r="V9" s="42" t="n">
        <x:f>IF(U9=0,"",Q9+M9)</x:f>
        <x:v>46452</x:v>
      </x:c>
      <x:c r="W9" s="42" t="n">
        <x:f>IF(U9=0,"",MIN(V9,H9))</x:f>
        <x:v>46387</x:v>
      </x:c>
      <x:c r="X9" s="41" t="n">
        <x:f>IF(U9=0,0,W9-C9)</x:f>
        <x:v>60</x:v>
      </x:c>
      <x:c r="Y9" s="43" t="str">
        <x:f>IF(U9=0,"Non-Recoverable",IF(V9&gt;H9,"Safe through EOY","Unrecov in "&amp;X9&amp;"d ("&amp;TEXT(W9,"mm/dd")&amp;")"))</x:f>
        <x:v>Safe through EOY</x:v>
      </x:c>
    </x:row>
    <x:row r="10">
      <x:c r="A10" s="34"/>
      <x:c r="B10" s="34"/>
      <x:c r="C10" s="35"/>
      <x:c r="D10" s="36"/>
      <x:c r="E10" s="36"/>
      <x:c r="F10" s="35"/>
      <x:c r="G10" s="36"/>
      <x:c r="H10" s="35"/>
      <x:c r="I10" s="40" t="str">
        <x:f>IFERROR(D10/E10,"")</x:f>
      </x:c>
      <x:c r="J10" s="41" t="n">
        <x:f>E10-D10</x:f>
        <x:v>0</x:v>
      </x:c>
      <x:c r="K10" s="41" t="n">
        <x:f>E10+(H10-C10)</x:f>
        <x:v>0</x:v>
      </x:c>
      <x:c r="L10" s="41" t="n">
        <x:f>FLOOR(K10*0.2,1)</x:f>
        <x:v>0</x:v>
      </x:c>
      <x:c r="M10" s="41" t="n">
        <x:f>MAX(L10-J10,0)</x:f>
        <x:v>0</x:v>
      </x:c>
      <x:c r="N10" s="42" t="n">
        <x:f>F10+G10-1</x:f>
        <x:v>-1</x:v>
      </x:c>
      <x:c r="O10" s="41" t="n">
        <x:f>MAX(N10-C10,0)</x:f>
        <x:v>0</x:v>
      </x:c>
      <x:c r="P10" s="41" t="n">
        <x:f>D10+O10</x:f>
        <x:v>0</x:v>
      </x:c>
      <x:c r="Q10" s="42" t="n">
        <x:f>MAX(C10,N10+1)</x:f>
        <x:v>0</x:v>
      </x:c>
      <x:c r="R10" s="41" t="n">
        <x:f>D10+(H10-C10)</x:f>
        <x:v>0</x:v>
      </x:c>
      <x:c r="S10" s="41" t="n">
        <x:f>K10</x:f>
        <x:v>0</x:v>
      </x:c>
      <x:c r="T10" s="40" t="str">
        <x:f>IFERROR(R10/S10,"")</x:f>
      </x:c>
      <x:c r="U10" s="41" t="n">
        <x:f>IF(T10&lt;0.8,0,1)</x:f>
        <x:v>0</x:v>
      </x:c>
      <x:c r="V10" s="42" t="str">
        <x:f>IF(U10=0,"",Q10+M10)</x:f>
      </x:c>
      <x:c r="W10" s="42" t="str">
        <x:f>IF(U10=0,"",MIN(V10,H10))</x:f>
      </x:c>
      <x:c r="X10" s="41" t="n">
        <x:f>IF(U10=0,0,W10-C10)</x:f>
        <x:v>0</x:v>
      </x:c>
      <x:c r="Y10" s="43" t="str">
        <x:f>IF(U10=0,"Non-Recoverable",IF(V10&gt;H10,"Safe through EOY","Unrecov in "&amp;X10&amp;"d ("&amp;TEXT(W10,"mm/dd")&amp;")"))</x:f>
        <x:v>Non-Recoverable</x:v>
      </x:c>
    </x:row>
    <x:row r="11" ht="18" customHeight="1">
      <x:c r="A11" s="34"/>
      <x:c r="B11" s="34"/>
      <x:c r="C11" s="35"/>
      <x:c r="D11" s="36"/>
      <x:c r="E11" s="36"/>
      <x:c r="F11" s="35"/>
      <x:c r="G11" s="36"/>
      <x:c r="H11" s="35"/>
      <x:c r="I11" s="40" t="str">
        <x:f>IFERROR(D11/E11,"")</x:f>
      </x:c>
      <x:c r="J11" s="41" t="n">
        <x:f>E11-D11</x:f>
        <x:v>0</x:v>
      </x:c>
      <x:c r="K11" s="41" t="n">
        <x:f>E11+(H11-C11)</x:f>
        <x:v>0</x:v>
      </x:c>
      <x:c r="L11" s="41" t="n">
        <x:f>FLOOR(K11*0.2,1)</x:f>
        <x:v>0</x:v>
      </x:c>
      <x:c r="M11" s="41" t="n">
        <x:f>MAX(L11-J11,0)</x:f>
        <x:v>0</x:v>
      </x:c>
      <x:c r="N11" s="42" t="n">
        <x:f>F11+G11-1</x:f>
        <x:v>-1</x:v>
      </x:c>
      <x:c r="O11" s="41" t="n">
        <x:f>MAX(N11-C11,0)</x:f>
        <x:v>0</x:v>
      </x:c>
      <x:c r="P11" s="41" t="n">
        <x:f>D11+O11</x:f>
        <x:v>0</x:v>
      </x:c>
      <x:c r="Q11" s="42" t="n">
        <x:f>MAX(C11,N11+1)</x:f>
        <x:v>0</x:v>
      </x:c>
      <x:c r="R11" s="41" t="n">
        <x:f>D11+(H11-C11)</x:f>
        <x:v>0</x:v>
      </x:c>
      <x:c r="S11" s="41" t="n">
        <x:f>K11</x:f>
        <x:v>0</x:v>
      </x:c>
      <x:c r="T11" s="40" t="str">
        <x:f>IFERROR(R11/S11,"")</x:f>
      </x:c>
      <x:c r="U11" s="41" t="n">
        <x:f>IF(T11&lt;0.8,0,1)</x:f>
        <x:v>0</x:v>
      </x:c>
      <x:c r="V11" s="42" t="str">
        <x:f>IF(U11=0,"",Q11+M11)</x:f>
      </x:c>
      <x:c r="W11" s="42" t="str">
        <x:f>IF(U11=0,"",MIN(V11,H11))</x:f>
      </x:c>
      <x:c r="X11" s="41" t="n">
        <x:f>IF(U11=0,0,W11-C11)</x:f>
        <x:v>0</x:v>
      </x:c>
      <x:c r="Y11" s="43" t="str">
        <x:f>IF(U11=0,"Non-Recoverable",IF(V11&gt;H11,"Safe through EOY","Unrecov in "&amp;X11&amp;"d ("&amp;TEXT(W11,"mm/dd")&amp;")"))</x:f>
        <x:v>Non-Recoverable</x:v>
      </x:c>
    </x:row>
    <x:row r="12">
      <x:c r="A12" s="34"/>
      <x:c r="B12" s="34"/>
      <x:c r="C12" s="35"/>
      <x:c r="D12" s="36"/>
      <x:c r="E12" s="36"/>
      <x:c r="F12" s="35"/>
      <x:c r="G12" s="36"/>
      <x:c r="H12" s="35"/>
      <x:c r="I12" s="40" t="str">
        <x:f>IFERROR(D12/E12,"")</x:f>
      </x:c>
      <x:c r="J12" s="41" t="n">
        <x:f>E12-D12</x:f>
        <x:v>0</x:v>
      </x:c>
      <x:c r="K12" s="41" t="n">
        <x:f>E12+(H12-C12)</x:f>
        <x:v>0</x:v>
      </x:c>
      <x:c r="L12" s="41" t="n">
        <x:f>FLOOR(K12*0.2,1)</x:f>
        <x:v>0</x:v>
      </x:c>
      <x:c r="M12" s="41" t="n">
        <x:f>MAX(L12-J12,0)</x:f>
        <x:v>0</x:v>
      </x:c>
      <x:c r="N12" s="42" t="n">
        <x:f>F12+G12-1</x:f>
        <x:v>-1</x:v>
      </x:c>
      <x:c r="O12" s="41" t="n">
        <x:f>MAX(N12-C12,0)</x:f>
        <x:v>0</x:v>
      </x:c>
      <x:c r="P12" s="41" t="n">
        <x:f>D12+O12</x:f>
        <x:v>0</x:v>
      </x:c>
      <x:c r="Q12" s="42" t="n">
        <x:f>MAX(C12,N12+1)</x:f>
        <x:v>0</x:v>
      </x:c>
      <x:c r="R12" s="41" t="n">
        <x:f>D12+(H12-C12)</x:f>
        <x:v>0</x:v>
      </x:c>
      <x:c r="S12" s="41" t="n">
        <x:f>K12</x:f>
        <x:v>0</x:v>
      </x:c>
      <x:c r="T12" s="40" t="str">
        <x:f>IFERROR(R12/S12,"")</x:f>
      </x:c>
      <x:c r="U12" s="41" t="n">
        <x:f>IF(T12&lt;0.8,0,1)</x:f>
        <x:v>0</x:v>
      </x:c>
      <x:c r="V12" s="42" t="str">
        <x:f>IF(U12=0,"",Q12+M12)</x:f>
      </x:c>
      <x:c r="W12" s="42" t="str">
        <x:f>IF(U12=0,"",MIN(V12,H12))</x:f>
      </x:c>
      <x:c r="X12" s="41" t="n">
        <x:f>IF(U12=0,0,W12-C12)</x:f>
        <x:v>0</x:v>
      </x:c>
      <x:c r="Y12" s="43" t="str">
        <x:f>IF(U12=0,"Non-Recoverable",IF(V12&gt;H12,"Safe through EOY","Unrecov in "&amp;X12&amp;"d ("&amp;TEXT(W12,"mm/dd")&amp;")"))</x:f>
        <x:v>Non-Recoverable</x:v>
      </x:c>
    </x:row>
    <x:row r="13">
      <x:c r="A13" s="34"/>
      <x:c r="B13" s="34"/>
      <x:c r="C13" s="35"/>
      <x:c r="D13" s="36"/>
      <x:c r="E13" s="36"/>
      <x:c r="F13" s="35"/>
      <x:c r="G13" s="36"/>
      <x:c r="H13" s="35"/>
      <x:c r="I13" s="40" t="str">
        <x:f>IFERROR(D13/E13,"")</x:f>
      </x:c>
      <x:c r="J13" s="41" t="n">
        <x:f>E13-D13</x:f>
        <x:v>0</x:v>
      </x:c>
      <x:c r="K13" s="41" t="n">
        <x:f>E13+(H13-C13)</x:f>
        <x:v>0</x:v>
      </x:c>
      <x:c r="L13" s="41" t="n">
        <x:f>FLOOR(K13*0.2,1)</x:f>
        <x:v>0</x:v>
      </x:c>
      <x:c r="M13" s="41" t="n">
        <x:f>MAX(L13-J13,0)</x:f>
        <x:v>0</x:v>
      </x:c>
      <x:c r="N13" s="42" t="n">
        <x:f>F13+G13-1</x:f>
        <x:v>-1</x:v>
      </x:c>
      <x:c r="O13" s="41" t="n">
        <x:f>MAX(N13-C13,0)</x:f>
        <x:v>0</x:v>
      </x:c>
      <x:c r="P13" s="41" t="n">
        <x:f>D13+O13</x:f>
        <x:v>0</x:v>
      </x:c>
      <x:c r="Q13" s="42" t="n">
        <x:f>MAX(C13,N13+1)</x:f>
        <x:v>0</x:v>
      </x:c>
      <x:c r="R13" s="41" t="n">
        <x:f>D13+(H13-C13)</x:f>
        <x:v>0</x:v>
      </x:c>
      <x:c r="S13" s="41" t="n">
        <x:f>K13</x:f>
        <x:v>0</x:v>
      </x:c>
      <x:c r="T13" s="40" t="str">
        <x:f>IFERROR(R13/S13,"")</x:f>
      </x:c>
      <x:c r="U13" s="41" t="n">
        <x:f>IF(T13&lt;0.8,0,1)</x:f>
        <x:v>0</x:v>
      </x:c>
      <x:c r="V13" s="42" t="str">
        <x:f>IF(U13=0,"",Q13+M13)</x:f>
      </x:c>
      <x:c r="W13" s="42" t="str">
        <x:f>IF(U13=0,"",MIN(V13,H13))</x:f>
      </x:c>
      <x:c r="X13" s="41" t="n">
        <x:f>IF(U13=0,0,W13-C13)</x:f>
        <x:v>0</x:v>
      </x:c>
      <x:c r="Y13" s="43" t="str">
        <x:f>IF(U13=0,"Non-Recoverable",IF(V13&gt;H13,"Safe through EOY","Unrecov in "&amp;X13&amp;"d ("&amp;TEXT(W13,"mm/dd")&amp;")"))</x:f>
        <x:v>Non-Recoverable</x:v>
      </x:c>
    </x:row>
    <x:row r="14">
      <x:c r="A14" s="34"/>
      <x:c r="B14" s="34"/>
      <x:c r="C14" s="35"/>
      <x:c r="D14" s="36"/>
      <x:c r="E14" s="36"/>
      <x:c r="F14" s="35"/>
      <x:c r="G14" s="36"/>
      <x:c r="H14" s="35"/>
      <x:c r="I14" s="40" t="str">
        <x:f>IFERROR(D14/E14,"")</x:f>
      </x:c>
      <x:c r="J14" s="41" t="n">
        <x:f>E14-D14</x:f>
        <x:v>0</x:v>
      </x:c>
      <x:c r="K14" s="41" t="n">
        <x:f>E14+(H14-C14)</x:f>
        <x:v>0</x:v>
      </x:c>
      <x:c r="L14" s="41" t="n">
        <x:f>FLOOR(K14*0.2,1)</x:f>
        <x:v>0</x:v>
      </x:c>
      <x:c r="M14" s="41" t="n">
        <x:f>MAX(L14-J14,0)</x:f>
        <x:v>0</x:v>
      </x:c>
      <x:c r="N14" s="42" t="n">
        <x:f>F14+G14-1</x:f>
        <x:v>-1</x:v>
      </x:c>
      <x:c r="O14" s="41" t="n">
        <x:f>MAX(N14-C14,0)</x:f>
        <x:v>0</x:v>
      </x:c>
      <x:c r="P14" s="41" t="n">
        <x:f>D14+O14</x:f>
        <x:v>0</x:v>
      </x:c>
      <x:c r="Q14" s="42" t="n">
        <x:f>MAX(C14,N14+1)</x:f>
        <x:v>0</x:v>
      </x:c>
      <x:c r="R14" s="41" t="n">
        <x:f>D14+(H14-C14)</x:f>
        <x:v>0</x:v>
      </x:c>
      <x:c r="S14" s="41" t="n">
        <x:f>K14</x:f>
        <x:v>0</x:v>
      </x:c>
      <x:c r="T14" s="40" t="str">
        <x:f>IFERROR(R14/S14,"")</x:f>
      </x:c>
      <x:c r="U14" s="41" t="n">
        <x:f>IF(T14&lt;0.8,0,1)</x:f>
        <x:v>0</x:v>
      </x:c>
      <x:c r="V14" s="42" t="str">
        <x:f>IF(U14=0,"",Q14+M14)</x:f>
      </x:c>
      <x:c r="W14" s="42" t="str">
        <x:f>IF(U14=0,"",MIN(V14,H14))</x:f>
      </x:c>
      <x:c r="X14" s="41" t="n">
        <x:f>IF(U14=0,0,W14-C14)</x:f>
        <x:v>0</x:v>
      </x:c>
      <x:c r="Y14" s="43" t="str">
        <x:f>IF(U14=0,"Non-Recoverable",IF(V14&gt;H14,"Safe through EOY","Unrecov in "&amp;X14&amp;"d ("&amp;TEXT(W14,"mm/dd")&amp;")"))</x:f>
        <x:v>Non-Recoverable</x:v>
      </x:c>
    </x:row>
    <x:row r="15">
      <x:c r="A15" s="34"/>
      <x:c r="B15" s="34"/>
      <x:c r="C15" s="35"/>
      <x:c r="D15" s="36"/>
      <x:c r="E15" s="36"/>
      <x:c r="F15" s="35"/>
      <x:c r="G15" s="36"/>
      <x:c r="H15" s="35"/>
      <x:c r="I15" s="40" t="str">
        <x:f>IFERROR(D15/E15,"")</x:f>
      </x:c>
      <x:c r="J15" s="41" t="n">
        <x:f>E15-D15</x:f>
        <x:v>0</x:v>
      </x:c>
      <x:c r="K15" s="41" t="n">
        <x:f>E15+(H15-C15)</x:f>
        <x:v>0</x:v>
      </x:c>
      <x:c r="L15" s="41" t="n">
        <x:f>FLOOR(K15*0.2,1)</x:f>
        <x:v>0</x:v>
      </x:c>
      <x:c r="M15" s="41" t="n">
        <x:f>MAX(L15-J15,0)</x:f>
        <x:v>0</x:v>
      </x:c>
      <x:c r="N15" s="42" t="n">
        <x:f>F15+G15-1</x:f>
        <x:v>-1</x:v>
      </x:c>
      <x:c r="O15" s="41" t="n">
        <x:f>MAX(N15-C15,0)</x:f>
        <x:v>0</x:v>
      </x:c>
      <x:c r="P15" s="41" t="n">
        <x:f>D15+O15</x:f>
        <x:v>0</x:v>
      </x:c>
      <x:c r="Q15" s="42" t="n">
        <x:f>MAX(C15,N15+1)</x:f>
        <x:v>0</x:v>
      </x:c>
      <x:c r="R15" s="41" t="n">
        <x:f>D15+(H15-C15)</x:f>
        <x:v>0</x:v>
      </x:c>
      <x:c r="S15" s="41" t="n">
        <x:f>K15</x:f>
        <x:v>0</x:v>
      </x:c>
      <x:c r="T15" s="40" t="str">
        <x:f>IFERROR(R15/S15,"")</x:f>
      </x:c>
      <x:c r="U15" s="41" t="n">
        <x:f>IF(T15&lt;0.8,0,1)</x:f>
        <x:v>0</x:v>
      </x:c>
      <x:c r="V15" s="42" t="str">
        <x:f>IF(U15=0,"",Q15+M15)</x:f>
      </x:c>
      <x:c r="W15" s="42" t="str">
        <x:f>IF(U15=0,"",MIN(V15,H15))</x:f>
      </x:c>
      <x:c r="X15" s="41" t="n">
        <x:f>IF(U15=0,0,W15-C15)</x:f>
        <x:v>0</x:v>
      </x:c>
      <x:c r="Y15" s="43" t="str">
        <x:f>IF(U15=0,"Non-Recoverable",IF(V15&gt;H15,"Safe through EOY","Unrecov in "&amp;X15&amp;"d ("&amp;TEXT(W15,"mm/dd")&amp;")"))</x:f>
        <x:v>Non-Recoverable</x:v>
      </x:c>
    </x:row>
    <x:row r="16">
      <x:c r="A16" s="34"/>
      <x:c r="B16" s="34"/>
      <x:c r="C16" s="35"/>
      <x:c r="D16" s="36"/>
      <x:c r="E16" s="36"/>
      <x:c r="F16" s="35"/>
      <x:c r="G16" s="36"/>
      <x:c r="H16" s="35"/>
      <x:c r="I16" s="40" t="str">
        <x:f>IFERROR(D16/E16,"")</x:f>
      </x:c>
      <x:c r="J16" s="41" t="n">
        <x:f>E16-D16</x:f>
        <x:v>0</x:v>
      </x:c>
      <x:c r="K16" s="41" t="n">
        <x:f>E16+(H16-C16)</x:f>
        <x:v>0</x:v>
      </x:c>
      <x:c r="L16" s="41" t="n">
        <x:f>FLOOR(K16*0.2,1)</x:f>
        <x:v>0</x:v>
      </x:c>
      <x:c r="M16" s="41" t="n">
        <x:f>MAX(L16-J16,0)</x:f>
        <x:v>0</x:v>
      </x:c>
      <x:c r="N16" s="42" t="n">
        <x:f>F16+G16-1</x:f>
        <x:v>-1</x:v>
      </x:c>
      <x:c r="O16" s="41" t="n">
        <x:f>MAX(N16-C16,0)</x:f>
        <x:v>0</x:v>
      </x:c>
      <x:c r="P16" s="41" t="n">
        <x:f>D16+O16</x:f>
        <x:v>0</x:v>
      </x:c>
      <x:c r="Q16" s="42" t="n">
        <x:f>MAX(C16,N16+1)</x:f>
        <x:v>0</x:v>
      </x:c>
      <x:c r="R16" s="41" t="n">
        <x:f>D16+(H16-C16)</x:f>
        <x:v>0</x:v>
      </x:c>
      <x:c r="S16" s="41" t="n">
        <x:f>K16</x:f>
        <x:v>0</x:v>
      </x:c>
      <x:c r="T16" s="40" t="str">
        <x:f>IFERROR(R16/S16,"")</x:f>
      </x:c>
      <x:c r="U16" s="41" t="n">
        <x:f>IF(T16&lt;0.8,0,1)</x:f>
        <x:v>0</x:v>
      </x:c>
      <x:c r="V16" s="42" t="str">
        <x:f>IF(U16=0,"",Q16+M16)</x:f>
      </x:c>
      <x:c r="W16" s="42" t="str">
        <x:f>IF(U16=0,"",MIN(V16,H16))</x:f>
      </x:c>
      <x:c r="X16" s="41" t="n">
        <x:f>IF(U16=0,0,W16-C16)</x:f>
        <x:v>0</x:v>
      </x:c>
      <x:c r="Y16" s="43" t="str">
        <x:f>IF(U16=0,"Non-Recoverable",IF(V16&gt;H16,"Safe through EOY","Unrecov in "&amp;X16&amp;"d ("&amp;TEXT(W16,"mm/dd")&amp;")"))</x:f>
        <x:v>Non-Recoverable</x:v>
      </x:c>
    </x:row>
    <x:row r="17">
      <x:c r="A17" s="34"/>
      <x:c r="B17" s="34"/>
      <x:c r="C17" s="35"/>
      <x:c r="D17" s="36"/>
      <x:c r="E17" s="36"/>
      <x:c r="F17" s="35"/>
      <x:c r="G17" s="36"/>
      <x:c r="H17" s="35"/>
      <x:c r="I17" s="40" t="str">
        <x:f>IFERROR(D17/E17,"")</x:f>
      </x:c>
      <x:c r="J17" s="41" t="n">
        <x:f>E17-D17</x:f>
        <x:v>0</x:v>
      </x:c>
      <x:c r="K17" s="41" t="n">
        <x:f>E17+(H17-C17)</x:f>
        <x:v>0</x:v>
      </x:c>
      <x:c r="L17" s="41" t="n">
        <x:f>FLOOR(K17*0.2,1)</x:f>
        <x:v>0</x:v>
      </x:c>
      <x:c r="M17" s="41" t="n">
        <x:f>MAX(L17-J17,0)</x:f>
        <x:v>0</x:v>
      </x:c>
      <x:c r="N17" s="42" t="n">
        <x:f>F17+G17-1</x:f>
        <x:v>-1</x:v>
      </x:c>
      <x:c r="O17" s="41" t="n">
        <x:f>MAX(N17-C17,0)</x:f>
        <x:v>0</x:v>
      </x:c>
      <x:c r="P17" s="41" t="n">
        <x:f>D17+O17</x:f>
        <x:v>0</x:v>
      </x:c>
      <x:c r="Q17" s="42" t="n">
        <x:f>MAX(C17,N17+1)</x:f>
        <x:v>0</x:v>
      </x:c>
      <x:c r="R17" s="41" t="n">
        <x:f>D17+(H17-C17)</x:f>
        <x:v>0</x:v>
      </x:c>
      <x:c r="S17" s="41" t="n">
        <x:f>K17</x:f>
        <x:v>0</x:v>
      </x:c>
      <x:c r="T17" s="40" t="str">
        <x:f>IFERROR(R17/S17,"")</x:f>
      </x:c>
      <x:c r="U17" s="41" t="n">
        <x:f>IF(T17&lt;0.8,0,1)</x:f>
        <x:v>0</x:v>
      </x:c>
      <x:c r="V17" s="42" t="str">
        <x:f>IF(U17=0,"",Q17+M17)</x:f>
      </x:c>
      <x:c r="W17" s="42" t="str">
        <x:f>IF(U17=0,"",MIN(V17,H17))</x:f>
      </x:c>
      <x:c r="X17" s="41" t="n">
        <x:f>IF(U17=0,0,W17-C17)</x:f>
        <x:v>0</x:v>
      </x:c>
      <x:c r="Y17" s="43" t="str">
        <x:f>IF(U17=0,"Non-Recoverable",IF(V17&gt;H17,"Safe through EOY","Unrecov in "&amp;X17&amp;"d ("&amp;TEXT(W17,"mm/dd")&amp;")"))</x:f>
        <x:v>Non-Recoverable</x:v>
      </x:c>
    </x:row>
    <x:row r="18">
      <x:c r="A18" s="34"/>
      <x:c r="B18" s="34"/>
      <x:c r="C18" s="35"/>
      <x:c r="D18" s="36"/>
      <x:c r="E18" s="36"/>
      <x:c r="F18" s="35"/>
      <x:c r="G18" s="36"/>
      <x:c r="H18" s="35"/>
      <x:c r="I18" s="40" t="str">
        <x:f>IFERROR(D18/E18,"")</x:f>
      </x:c>
      <x:c r="J18" s="41" t="n">
        <x:f>E18-D18</x:f>
        <x:v>0</x:v>
      </x:c>
      <x:c r="K18" s="41" t="n">
        <x:f>E18+(H18-C18)</x:f>
        <x:v>0</x:v>
      </x:c>
      <x:c r="L18" s="41" t="n">
        <x:f>FLOOR(K18*0.2,1)</x:f>
        <x:v>0</x:v>
      </x:c>
      <x:c r="M18" s="41" t="n">
        <x:f>MAX(L18-J18,0)</x:f>
        <x:v>0</x:v>
      </x:c>
      <x:c r="N18" s="42" t="n">
        <x:f>F18+G18-1</x:f>
        <x:v>-1</x:v>
      </x:c>
      <x:c r="O18" s="41" t="n">
        <x:f>MAX(N18-C18,0)</x:f>
        <x:v>0</x:v>
      </x:c>
      <x:c r="P18" s="41" t="n">
        <x:f>D18+O18</x:f>
        <x:v>0</x:v>
      </x:c>
      <x:c r="Q18" s="42" t="n">
        <x:f>MAX(C18,N18+1)</x:f>
        <x:v>0</x:v>
      </x:c>
      <x:c r="R18" s="41" t="n">
        <x:f>D18+(H18-C18)</x:f>
        <x:v>0</x:v>
      </x:c>
      <x:c r="S18" s="41" t="n">
        <x:f>K18</x:f>
        <x:v>0</x:v>
      </x:c>
      <x:c r="T18" s="40" t="str">
        <x:f>IFERROR(R18/S18,"")</x:f>
      </x:c>
      <x:c r="U18" s="41" t="n">
        <x:f>IF(T18&lt;0.8,0,1)</x:f>
        <x:v>0</x:v>
      </x:c>
      <x:c r="V18" s="42" t="str">
        <x:f>IF(U18=0,"",Q18+M18)</x:f>
      </x:c>
      <x:c r="W18" s="42" t="str">
        <x:f>IF(U18=0,"",MIN(V18,H18))</x:f>
      </x:c>
      <x:c r="X18" s="41" t="n">
        <x:f>IF(U18=0,0,W18-C18)</x:f>
        <x:v>0</x:v>
      </x:c>
      <x:c r="Y18" s="43" t="str">
        <x:f>IF(U18=0,"Non-Recoverable",IF(V18&gt;H18,"Safe through EOY","Unrecov in "&amp;X18&amp;"d ("&amp;TEXT(W18,"mm/dd")&amp;")"))</x:f>
        <x:v>Non-Recoverable</x:v>
      </x:c>
    </x:row>
    <x:row r="19">
      <x:c r="A19" s="34"/>
      <x:c r="B19" s="34"/>
      <x:c r="C19" s="35"/>
      <x:c r="D19" s="36"/>
      <x:c r="E19" s="36"/>
      <x:c r="F19" s="35"/>
      <x:c r="G19" s="36"/>
      <x:c r="H19" s="35"/>
      <x:c r="I19" s="40" t="str">
        <x:f>IFERROR(D19/E19,"")</x:f>
      </x:c>
      <x:c r="J19" s="41" t="n">
        <x:f>E19-D19</x:f>
        <x:v>0</x:v>
      </x:c>
      <x:c r="K19" s="41" t="n">
        <x:f>E19+(H19-C19)</x:f>
        <x:v>0</x:v>
      </x:c>
      <x:c r="L19" s="41" t="n">
        <x:f>FLOOR(K19*0.2,1)</x:f>
        <x:v>0</x:v>
      </x:c>
      <x:c r="M19" s="41" t="n">
        <x:f>MAX(L19-J19,0)</x:f>
        <x:v>0</x:v>
      </x:c>
      <x:c r="N19" s="42" t="n">
        <x:f>F19+G19-1</x:f>
        <x:v>-1</x:v>
      </x:c>
      <x:c r="O19" s="41" t="n">
        <x:f>MAX(N19-C19,0)</x:f>
        <x:v>0</x:v>
      </x:c>
      <x:c r="P19" s="41" t="n">
        <x:f>D19+O19</x:f>
        <x:v>0</x:v>
      </x:c>
      <x:c r="Q19" s="42" t="n">
        <x:f>MAX(C19,N19+1)</x:f>
        <x:v>0</x:v>
      </x:c>
      <x:c r="R19" s="41" t="n">
        <x:f>D19+(H19-C19)</x:f>
        <x:v>0</x:v>
      </x:c>
      <x:c r="S19" s="41" t="n">
        <x:f>K19</x:f>
        <x:v>0</x:v>
      </x:c>
      <x:c r="T19" s="40" t="str">
        <x:f>IFERROR(R19/S19,"")</x:f>
      </x:c>
      <x:c r="U19" s="41" t="n">
        <x:f>IF(T19&lt;0.8,0,1)</x:f>
        <x:v>0</x:v>
      </x:c>
      <x:c r="V19" s="42" t="str">
        <x:f>IF(U19=0,"",Q19+M19)</x:f>
      </x:c>
      <x:c r="W19" s="42" t="str">
        <x:f>IF(U19=0,"",MIN(V19,H19))</x:f>
      </x:c>
      <x:c r="X19" s="41" t="n">
        <x:f>IF(U19=0,0,W19-C19)</x:f>
        <x:v>0</x:v>
      </x:c>
      <x:c r="Y19" s="43" t="str">
        <x:f>IF(U19=0,"Non-Recoverable",IF(V19&gt;H19,"Safe through EOY","Unrecov in "&amp;X19&amp;"d ("&amp;TEXT(W19,"mm/dd")&amp;")"))</x:f>
        <x:v>Non-Recoverable</x:v>
      </x:c>
    </x:row>
    <x:row r="20">
      <x:c r="A20" s="34"/>
      <x:c r="B20" s="34"/>
      <x:c r="C20" s="35"/>
      <x:c r="D20" s="36"/>
      <x:c r="E20" s="36"/>
      <x:c r="F20" s="35"/>
      <x:c r="G20" s="36"/>
      <x:c r="H20" s="35"/>
      <x:c r="I20" s="40" t="str">
        <x:f>IFERROR(D20/E20,"")</x:f>
      </x:c>
      <x:c r="J20" s="41" t="n">
        <x:f>E20-D20</x:f>
        <x:v>0</x:v>
      </x:c>
      <x:c r="K20" s="41" t="n">
        <x:f>E20+(H20-C20)</x:f>
        <x:v>0</x:v>
      </x:c>
      <x:c r="L20" s="41" t="n">
        <x:f>FLOOR(K20*0.2,1)</x:f>
        <x:v>0</x:v>
      </x:c>
      <x:c r="M20" s="41" t="n">
        <x:f>MAX(L20-J20,0)</x:f>
        <x:v>0</x:v>
      </x:c>
      <x:c r="N20" s="42" t="n">
        <x:f>F20+G20-1</x:f>
        <x:v>-1</x:v>
      </x:c>
      <x:c r="O20" s="41" t="n">
        <x:f>MAX(N20-C20,0)</x:f>
        <x:v>0</x:v>
      </x:c>
      <x:c r="P20" s="41" t="n">
        <x:f>D20+O20</x:f>
        <x:v>0</x:v>
      </x:c>
      <x:c r="Q20" s="42" t="n">
        <x:f>MAX(C20,N20+1)</x:f>
        <x:v>0</x:v>
      </x:c>
      <x:c r="R20" s="41" t="n">
        <x:f>D20+(H20-C20)</x:f>
        <x:v>0</x:v>
      </x:c>
      <x:c r="S20" s="41" t="n">
        <x:f>K20</x:f>
        <x:v>0</x:v>
      </x:c>
      <x:c r="T20" s="40" t="str">
        <x:f>IFERROR(R20/S20,"")</x:f>
      </x:c>
      <x:c r="U20" s="41" t="n">
        <x:f>IF(T20&lt;0.8,0,1)</x:f>
        <x:v>0</x:v>
      </x:c>
      <x:c r="V20" s="42" t="str">
        <x:f>IF(U20=0,"",Q20+M20)</x:f>
      </x:c>
      <x:c r="W20" s="42" t="str">
        <x:f>IF(U20=0,"",MIN(V20,H20))</x:f>
      </x:c>
      <x:c r="X20" s="41" t="n">
        <x:f>IF(U20=0,0,W20-C20)</x:f>
        <x:v>0</x:v>
      </x:c>
      <x:c r="Y20" s="43" t="str">
        <x:f>IF(U20=0,"Non-Recoverable",IF(V20&gt;H20,"Safe through EOY","Unrecov in "&amp;X20&amp;"d ("&amp;TEXT(W20,"mm/dd")&amp;")"))</x:f>
        <x:v>Non-Recoverable</x:v>
      </x:c>
    </x:row>
    <x:row r="21">
      <x:c r="A21" s="34"/>
      <x:c r="B21" s="34"/>
      <x:c r="C21" s="35"/>
      <x:c r="D21" s="36"/>
      <x:c r="E21" s="36"/>
      <x:c r="F21" s="35"/>
      <x:c r="G21" s="36"/>
      <x:c r="H21" s="35"/>
      <x:c r="I21" s="40" t="str">
        <x:f>IFERROR(D21/E21,"")</x:f>
      </x:c>
      <x:c r="J21" s="41" t="n">
        <x:f>E21-D21</x:f>
        <x:v>0</x:v>
      </x:c>
      <x:c r="K21" s="41" t="n">
        <x:f>E21+(H21-C21)</x:f>
        <x:v>0</x:v>
      </x:c>
      <x:c r="L21" s="41" t="n">
        <x:f>FLOOR(K21*0.2,1)</x:f>
        <x:v>0</x:v>
      </x:c>
      <x:c r="M21" s="41" t="n">
        <x:f>MAX(L21-J21,0)</x:f>
        <x:v>0</x:v>
      </x:c>
      <x:c r="N21" s="42" t="n">
        <x:f>F21+G21-1</x:f>
        <x:v>-1</x:v>
      </x:c>
      <x:c r="O21" s="41" t="n">
        <x:f>MAX(N21-C21,0)</x:f>
        <x:v>0</x:v>
      </x:c>
      <x:c r="P21" s="41" t="n">
        <x:f>D21+O21</x:f>
        <x:v>0</x:v>
      </x:c>
      <x:c r="Q21" s="42" t="n">
        <x:f>MAX(C21,N21+1)</x:f>
        <x:v>0</x:v>
      </x:c>
      <x:c r="R21" s="41" t="n">
        <x:f>D21+(H21-C21)</x:f>
        <x:v>0</x:v>
      </x:c>
      <x:c r="S21" s="41" t="n">
        <x:f>K21</x:f>
        <x:v>0</x:v>
      </x:c>
      <x:c r="T21" s="40" t="str">
        <x:f>IFERROR(R21/S21,"")</x:f>
      </x:c>
      <x:c r="U21" s="41" t="n">
        <x:f>IF(T21&lt;0.8,0,1)</x:f>
        <x:v>0</x:v>
      </x:c>
      <x:c r="V21" s="42" t="str">
        <x:f>IF(U21=0,"",Q21+M21)</x:f>
      </x:c>
      <x:c r="W21" s="42" t="str">
        <x:f>IF(U21=0,"",MIN(V21,H21))</x:f>
      </x:c>
      <x:c r="X21" s="41" t="n">
        <x:f>IF(U21=0,0,W21-C21)</x:f>
        <x:v>0</x:v>
      </x:c>
      <x:c r="Y21" s="43" t="str">
        <x:f>IF(U21=0,"Non-Recoverable",IF(V21&gt;H21,"Safe through EOY","Unrecov in "&amp;X21&amp;"d ("&amp;TEXT(W21,"mm/dd")&amp;")"))</x:f>
        <x:v>Non-Recoverable</x:v>
      </x:c>
    </x:row>
    <x:row r="22">
      <x:c r="A22" s="34"/>
      <x:c r="B22" s="34"/>
      <x:c r="C22" s="35"/>
      <x:c r="D22" s="36"/>
      <x:c r="E22" s="36"/>
      <x:c r="F22" s="35"/>
      <x:c r="G22" s="36"/>
      <x:c r="H22" s="35"/>
      <x:c r="I22" s="40" t="str">
        <x:f>IFERROR(D22/E22,"")</x:f>
      </x:c>
      <x:c r="J22" s="41" t="n">
        <x:f>E22-D22</x:f>
        <x:v>0</x:v>
      </x:c>
      <x:c r="K22" s="41" t="n">
        <x:f>E22+(H22-C22)</x:f>
        <x:v>0</x:v>
      </x:c>
      <x:c r="L22" s="41" t="n">
        <x:f>FLOOR(K22*0.2,1)</x:f>
        <x:v>0</x:v>
      </x:c>
      <x:c r="M22" s="41" t="n">
        <x:f>MAX(L22-J22,0)</x:f>
        <x:v>0</x:v>
      </x:c>
      <x:c r="N22" s="42" t="n">
        <x:f>F22+G22-1</x:f>
        <x:v>-1</x:v>
      </x:c>
      <x:c r="O22" s="41" t="n">
        <x:f>MAX(N22-C22,0)</x:f>
        <x:v>0</x:v>
      </x:c>
      <x:c r="P22" s="41" t="n">
        <x:f>D22+O22</x:f>
        <x:v>0</x:v>
      </x:c>
      <x:c r="Q22" s="42" t="n">
        <x:f>MAX(C22,N22+1)</x:f>
        <x:v>0</x:v>
      </x:c>
      <x:c r="R22" s="41" t="n">
        <x:f>D22+(H22-C22)</x:f>
        <x:v>0</x:v>
      </x:c>
      <x:c r="S22" s="41" t="n">
        <x:f>K22</x:f>
        <x:v>0</x:v>
      </x:c>
      <x:c r="T22" s="40" t="str">
        <x:f>IFERROR(R22/S22,"")</x:f>
      </x:c>
      <x:c r="U22" s="41" t="n">
        <x:f>IF(T22&lt;0.8,0,1)</x:f>
        <x:v>0</x:v>
      </x:c>
      <x:c r="V22" s="42" t="str">
        <x:f>IF(U22=0,"",Q22+M22)</x:f>
      </x:c>
      <x:c r="W22" s="42" t="str">
        <x:f>IF(U22=0,"",MIN(V22,H22))</x:f>
      </x:c>
      <x:c r="X22" s="41" t="n">
        <x:f>IF(U22=0,0,W22-C22)</x:f>
        <x:v>0</x:v>
      </x:c>
      <x:c r="Y22" s="43" t="str">
        <x:f>IF(U22=0,"Non-Recoverable",IF(V22&gt;H22,"Safe through EOY","Unrecov in "&amp;X22&amp;"d ("&amp;TEXT(W22,"mm/dd")&amp;")"))</x:f>
        <x:v>Non-Recoverable</x:v>
      </x:c>
    </x:row>
    <x:row r="23">
      <x:c r="A23" s="34"/>
      <x:c r="B23" s="34"/>
      <x:c r="C23" s="35"/>
      <x:c r="D23" s="36"/>
      <x:c r="E23" s="36"/>
      <x:c r="F23" s="35"/>
      <x:c r="G23" s="36"/>
      <x:c r="H23" s="35"/>
      <x:c r="I23" s="40" t="str">
        <x:f>IFERROR(D23/E23,"")</x:f>
      </x:c>
      <x:c r="J23" s="41" t="n">
        <x:f>E23-D23</x:f>
        <x:v>0</x:v>
      </x:c>
      <x:c r="K23" s="41" t="n">
        <x:f>E23+(H23-C23)</x:f>
        <x:v>0</x:v>
      </x:c>
      <x:c r="L23" s="41" t="n">
        <x:f>FLOOR(K23*0.2,1)</x:f>
        <x:v>0</x:v>
      </x:c>
      <x:c r="M23" s="41" t="n">
        <x:f>MAX(L23-J23,0)</x:f>
        <x:v>0</x:v>
      </x:c>
      <x:c r="N23" s="42" t="n">
        <x:f>F23+G23-1</x:f>
        <x:v>-1</x:v>
      </x:c>
      <x:c r="O23" s="41" t="n">
        <x:f>MAX(N23-C23,0)</x:f>
        <x:v>0</x:v>
      </x:c>
      <x:c r="P23" s="41" t="n">
        <x:f>D23+O23</x:f>
        <x:v>0</x:v>
      </x:c>
      <x:c r="Q23" s="42" t="n">
        <x:f>MAX(C23,N23+1)</x:f>
        <x:v>0</x:v>
      </x:c>
      <x:c r="R23" s="41" t="n">
        <x:f>D23+(H23-C23)</x:f>
        <x:v>0</x:v>
      </x:c>
      <x:c r="S23" s="41" t="n">
        <x:f>K23</x:f>
        <x:v>0</x:v>
      </x:c>
      <x:c r="T23" s="40" t="str">
        <x:f>IFERROR(R23/S23,"")</x:f>
      </x:c>
      <x:c r="U23" s="41" t="n">
        <x:f>IF(T23&lt;0.8,0,1)</x:f>
        <x:v>0</x:v>
      </x:c>
      <x:c r="V23" s="42" t="str">
        <x:f>IF(U23=0,"",Q23+M23)</x:f>
      </x:c>
      <x:c r="W23" s="42" t="str">
        <x:f>IF(U23=0,"",MIN(V23,H23))</x:f>
      </x:c>
      <x:c r="X23" s="41" t="n">
        <x:f>IF(U23=0,0,W23-C23)</x:f>
        <x:v>0</x:v>
      </x:c>
      <x:c r="Y23" s="43" t="str">
        <x:f>IF(U23=0,"Non-Recoverable",IF(V23&gt;H23,"Safe through EOY","Unrecov in "&amp;X23&amp;"d ("&amp;TEXT(W23,"mm/dd")&amp;")"))</x:f>
        <x:v>Non-Recoverable</x:v>
      </x:c>
    </x:row>
    <x:row r="24">
      <x:c r="A24" s="34"/>
      <x:c r="B24" s="34"/>
      <x:c r="C24" s="35"/>
      <x:c r="D24" s="36"/>
      <x:c r="E24" s="36"/>
      <x:c r="F24" s="35"/>
      <x:c r="G24" s="36"/>
      <x:c r="H24" s="35"/>
      <x:c r="I24" s="40" t="str">
        <x:f>IFERROR(D24/E24,"")</x:f>
      </x:c>
      <x:c r="J24" s="41" t="n">
        <x:f>E24-D24</x:f>
        <x:v>0</x:v>
      </x:c>
      <x:c r="K24" s="41" t="n">
        <x:f>E24+(H24-C24)</x:f>
        <x:v>0</x:v>
      </x:c>
      <x:c r="L24" s="41" t="n">
        <x:f>FLOOR(K24*0.2,1)</x:f>
        <x:v>0</x:v>
      </x:c>
      <x:c r="M24" s="41" t="n">
        <x:f>MAX(L24-J24,0)</x:f>
        <x:v>0</x:v>
      </x:c>
      <x:c r="N24" s="42" t="n">
        <x:f>F24+G24-1</x:f>
        <x:v>-1</x:v>
      </x:c>
      <x:c r="O24" s="41" t="n">
        <x:f>MAX(N24-C24,0)</x:f>
        <x:v>0</x:v>
      </x:c>
      <x:c r="P24" s="41" t="n">
        <x:f>D24+O24</x:f>
        <x:v>0</x:v>
      </x:c>
      <x:c r="Q24" s="42" t="n">
        <x:f>MAX(C24,N24+1)</x:f>
        <x:v>0</x:v>
      </x:c>
      <x:c r="R24" s="41" t="n">
        <x:f>D24+(H24-C24)</x:f>
        <x:v>0</x:v>
      </x:c>
      <x:c r="S24" s="41" t="n">
        <x:f>K24</x:f>
        <x:v>0</x:v>
      </x:c>
      <x:c r="T24" s="40" t="str">
        <x:f>IFERROR(R24/S24,"")</x:f>
      </x:c>
      <x:c r="U24" s="41" t="n">
        <x:f>IF(T24&lt;0.8,0,1)</x:f>
        <x:v>0</x:v>
      </x:c>
      <x:c r="V24" s="42" t="str">
        <x:f>IF(U24=0,"",Q24+M24)</x:f>
      </x:c>
      <x:c r="W24" s="42" t="str">
        <x:f>IF(U24=0,"",MIN(V24,H24))</x:f>
      </x:c>
      <x:c r="X24" s="41" t="n">
        <x:f>IF(U24=0,0,W24-C24)</x:f>
        <x:v>0</x:v>
      </x:c>
      <x:c r="Y24" s="43" t="str">
        <x:f>IF(U24=0,"Non-Recoverable",IF(V24&gt;H24,"Safe through EOY","Unrecov in "&amp;X24&amp;"d ("&amp;TEXT(W24,"mm/dd")&amp;")"))</x:f>
        <x:v>Non-Recoverable</x:v>
      </x:c>
    </x:row>
    <x:row r="25">
      <x:c r="A25" s="34"/>
      <x:c r="B25" s="34"/>
      <x:c r="C25" s="35"/>
      <x:c r="D25" s="36"/>
      <x:c r="E25" s="36"/>
      <x:c r="F25" s="35"/>
      <x:c r="G25" s="36"/>
      <x:c r="H25" s="35"/>
      <x:c r="I25" s="40" t="str">
        <x:f>IFERROR(D25/E25,"")</x:f>
      </x:c>
      <x:c r="J25" s="41" t="n">
        <x:f>E25-D25</x:f>
        <x:v>0</x:v>
      </x:c>
      <x:c r="K25" s="41" t="n">
        <x:f>E25+(H25-C25)</x:f>
        <x:v>0</x:v>
      </x:c>
      <x:c r="L25" s="41" t="n">
        <x:f>FLOOR(K25*0.2,1)</x:f>
        <x:v>0</x:v>
      </x:c>
      <x:c r="M25" s="41" t="n">
        <x:f>MAX(L25-J25,0)</x:f>
        <x:v>0</x:v>
      </x:c>
      <x:c r="N25" s="42" t="n">
        <x:f>F25+G25-1</x:f>
        <x:v>-1</x:v>
      </x:c>
      <x:c r="O25" s="41" t="n">
        <x:f>MAX(N25-C25,0)</x:f>
        <x:v>0</x:v>
      </x:c>
      <x:c r="P25" s="41" t="n">
        <x:f>D25+O25</x:f>
        <x:v>0</x:v>
      </x:c>
      <x:c r="Q25" s="42" t="n">
        <x:f>MAX(C25,N25+1)</x:f>
        <x:v>0</x:v>
      </x:c>
      <x:c r="R25" s="41" t="n">
        <x:f>D25+(H25-C25)</x:f>
        <x:v>0</x:v>
      </x:c>
      <x:c r="S25" s="41" t="n">
        <x:f>K25</x:f>
        <x:v>0</x:v>
      </x:c>
      <x:c r="T25" s="40" t="str">
        <x:f>IFERROR(R25/S25,"")</x:f>
      </x:c>
      <x:c r="U25" s="41" t="n">
        <x:f>IF(T25&lt;0.8,0,1)</x:f>
        <x:v>0</x:v>
      </x:c>
      <x:c r="V25" s="42" t="str">
        <x:f>IF(U25=0,"",Q25+M25)</x:f>
      </x:c>
      <x:c r="W25" s="42" t="str">
        <x:f>IF(U25=0,"",MIN(V25,H25))</x:f>
      </x:c>
      <x:c r="X25" s="41" t="n">
        <x:f>IF(U25=0,0,W25-C25)</x:f>
        <x:v>0</x:v>
      </x:c>
      <x:c r="Y25" s="43" t="str">
        <x:f>IF(U25=0,"Non-Recoverable",IF(V25&gt;H25,"Safe through EOY","Unrecov in "&amp;X25&amp;"d ("&amp;TEXT(W25,"mm/dd")&amp;")"))</x:f>
        <x:v>Non-Recoverable</x:v>
      </x:c>
    </x:row>
    <x:row r="26">
      <x:c r="A26" s="34"/>
      <x:c r="B26" s="34"/>
      <x:c r="C26" s="35"/>
      <x:c r="D26" s="36"/>
      <x:c r="E26" s="36"/>
      <x:c r="F26" s="35"/>
      <x:c r="G26" s="36"/>
      <x:c r="H26" s="35"/>
      <x:c r="I26" s="40" t="str">
        <x:f>IFERROR(D26/E26,"")</x:f>
      </x:c>
      <x:c r="J26" s="41" t="n">
        <x:f>E26-D26</x:f>
        <x:v>0</x:v>
      </x:c>
      <x:c r="K26" s="41" t="n">
        <x:f>E26+(H26-C26)</x:f>
        <x:v>0</x:v>
      </x:c>
      <x:c r="L26" s="41" t="n">
        <x:f>FLOOR(K26*0.2,1)</x:f>
        <x:v>0</x:v>
      </x:c>
      <x:c r="M26" s="41" t="n">
        <x:f>MAX(L26-J26,0)</x:f>
        <x:v>0</x:v>
      </x:c>
      <x:c r="N26" s="42" t="n">
        <x:f>F26+G26-1</x:f>
        <x:v>-1</x:v>
      </x:c>
      <x:c r="O26" s="41" t="n">
        <x:f>MAX(N26-C26,0)</x:f>
        <x:v>0</x:v>
      </x:c>
      <x:c r="P26" s="41" t="n">
        <x:f>D26+O26</x:f>
        <x:v>0</x:v>
      </x:c>
      <x:c r="Q26" s="42" t="n">
        <x:f>MAX(C26,N26+1)</x:f>
        <x:v>0</x:v>
      </x:c>
      <x:c r="R26" s="41" t="n">
        <x:f>D26+(H26-C26)</x:f>
        <x:v>0</x:v>
      </x:c>
      <x:c r="S26" s="41" t="n">
        <x:f>K26</x:f>
        <x:v>0</x:v>
      </x:c>
      <x:c r="T26" s="40" t="str">
        <x:f>IFERROR(R26/S26,"")</x:f>
      </x:c>
      <x:c r="U26" s="41" t="n">
        <x:f>IF(T26&lt;0.8,0,1)</x:f>
        <x:v>0</x:v>
      </x:c>
      <x:c r="V26" s="42" t="str">
        <x:f>IF(U26=0,"",Q26+M26)</x:f>
      </x:c>
      <x:c r="W26" s="42" t="str">
        <x:f>IF(U26=0,"",MIN(V26,H26))</x:f>
      </x:c>
      <x:c r="X26" s="41" t="n">
        <x:f>IF(U26=0,0,W26-C26)</x:f>
        <x:v>0</x:v>
      </x:c>
      <x:c r="Y26" s="43" t="str">
        <x:f>IF(U26=0,"Non-Recoverable",IF(V26&gt;H26,"Safe through EOY","Unrecov in "&amp;X26&amp;"d ("&amp;TEXT(W26,"mm/dd")&amp;")"))</x:f>
        <x:v>Non-Recoverable</x:v>
      </x:c>
    </x:row>
    <x:row r="27">
      <x:c r="A27" s="34"/>
      <x:c r="B27" s="34"/>
      <x:c r="C27" s="35"/>
      <x:c r="D27" s="36"/>
      <x:c r="E27" s="36"/>
      <x:c r="F27" s="35"/>
      <x:c r="G27" s="36"/>
      <x:c r="H27" s="35"/>
      <x:c r="I27" s="40" t="str">
        <x:f>IFERROR(D27/E27,"")</x:f>
      </x:c>
      <x:c r="J27" s="41" t="n">
        <x:f>E27-D27</x:f>
        <x:v>0</x:v>
      </x:c>
      <x:c r="K27" s="41" t="n">
        <x:f>E27+(H27-C27)</x:f>
        <x:v>0</x:v>
      </x:c>
      <x:c r="L27" s="41" t="n">
        <x:f>FLOOR(K27*0.2,1)</x:f>
        <x:v>0</x:v>
      </x:c>
      <x:c r="M27" s="41" t="n">
        <x:f>MAX(L27-J27,0)</x:f>
        <x:v>0</x:v>
      </x:c>
      <x:c r="N27" s="42" t="n">
        <x:f>F27+G27-1</x:f>
        <x:v>-1</x:v>
      </x:c>
      <x:c r="O27" s="41" t="n">
        <x:f>MAX(N27-C27,0)</x:f>
        <x:v>0</x:v>
      </x:c>
      <x:c r="P27" s="41" t="n">
        <x:f>D27+O27</x:f>
        <x:v>0</x:v>
      </x:c>
      <x:c r="Q27" s="42" t="n">
        <x:f>MAX(C27,N27+1)</x:f>
        <x:v>0</x:v>
      </x:c>
      <x:c r="R27" s="41" t="n">
        <x:f>D27+(H27-C27)</x:f>
        <x:v>0</x:v>
      </x:c>
      <x:c r="S27" s="41" t="n">
        <x:f>K27</x:f>
        <x:v>0</x:v>
      </x:c>
      <x:c r="T27" s="40" t="str">
        <x:f>IFERROR(R27/S27,"")</x:f>
      </x:c>
      <x:c r="U27" s="41" t="n">
        <x:f>IF(T27&lt;0.8,0,1)</x:f>
        <x:v>0</x:v>
      </x:c>
      <x:c r="V27" s="42" t="str">
        <x:f>IF(U27=0,"",Q27+M27)</x:f>
      </x:c>
      <x:c r="W27" s="42" t="str">
        <x:f>IF(U27=0,"",MIN(V27,H27))</x:f>
      </x:c>
      <x:c r="X27" s="41" t="n">
        <x:f>IF(U27=0,0,W27-C27)</x:f>
        <x:v>0</x:v>
      </x:c>
      <x:c r="Y27" s="43" t="str">
        <x:f>IF(U27=0,"Non-Recoverable",IF(V27&gt;H27,"Safe through EOY","Unrecov in "&amp;X27&amp;"d ("&amp;TEXT(W27,"mm/dd")&amp;")"))</x:f>
        <x:v>Non-Recoverable</x:v>
      </x:c>
    </x:row>
    <x:row r="28">
      <x:c r="A28" s="34"/>
      <x:c r="B28" s="34"/>
      <x:c r="C28" s="35"/>
      <x:c r="D28" s="36"/>
      <x:c r="E28" s="36"/>
      <x:c r="F28" s="35"/>
      <x:c r="G28" s="36"/>
      <x:c r="H28" s="35"/>
      <x:c r="I28" s="40" t="str">
        <x:f>IFERROR(D28/E28,"")</x:f>
      </x:c>
      <x:c r="J28" s="41" t="n">
        <x:f>E28-D28</x:f>
        <x:v>0</x:v>
      </x:c>
      <x:c r="K28" s="41" t="n">
        <x:f>E28+(H28-C28)</x:f>
        <x:v>0</x:v>
      </x:c>
      <x:c r="L28" s="41" t="n">
        <x:f>FLOOR(K28*0.2,1)</x:f>
        <x:v>0</x:v>
      </x:c>
      <x:c r="M28" s="41" t="n">
        <x:f>MAX(L28-J28,0)</x:f>
        <x:v>0</x:v>
      </x:c>
      <x:c r="N28" s="42" t="n">
        <x:f>F28+G28-1</x:f>
        <x:v>-1</x:v>
      </x:c>
      <x:c r="O28" s="41" t="n">
        <x:f>MAX(N28-C28,0)</x:f>
        <x:v>0</x:v>
      </x:c>
      <x:c r="P28" s="41" t="n">
        <x:f>D28+O28</x:f>
        <x:v>0</x:v>
      </x:c>
      <x:c r="Q28" s="42" t="n">
        <x:f>MAX(C28,N28+1)</x:f>
        <x:v>0</x:v>
      </x:c>
      <x:c r="R28" s="41" t="n">
        <x:f>D28+(H28-C28)</x:f>
        <x:v>0</x:v>
      </x:c>
      <x:c r="S28" s="41" t="n">
        <x:f>K28</x:f>
        <x:v>0</x:v>
      </x:c>
      <x:c r="T28" s="40" t="str">
        <x:f>IFERROR(R28/S28,"")</x:f>
      </x:c>
      <x:c r="U28" s="41" t="n">
        <x:f>IF(T28&lt;0.8,0,1)</x:f>
        <x:v>0</x:v>
      </x:c>
      <x:c r="V28" s="42" t="str">
        <x:f>IF(U28=0,"",Q28+M28)</x:f>
      </x:c>
      <x:c r="W28" s="42" t="str">
        <x:f>IF(U28=0,"",MIN(V28,H28))</x:f>
      </x:c>
      <x:c r="X28" s="41" t="n">
        <x:f>IF(U28=0,0,W28-C28)</x:f>
        <x:v>0</x:v>
      </x:c>
      <x:c r="Y28" s="43" t="str">
        <x:f>IF(U28=0,"Non-Recoverable",IF(V28&gt;H28,"Safe through EOY","Unrecov in "&amp;X28&amp;"d ("&amp;TEXT(W28,"mm/dd")&amp;")"))</x:f>
        <x:v>Non-Recoverable</x:v>
      </x:c>
    </x:row>
    <x:row r="29">
      <x:c r="A29" s="34"/>
      <x:c r="B29" s="34"/>
      <x:c r="C29" s="35"/>
      <x:c r="D29" s="36"/>
      <x:c r="E29" s="36"/>
      <x:c r="F29" s="35"/>
      <x:c r="G29" s="36"/>
      <x:c r="H29" s="35"/>
      <x:c r="I29" s="40" t="str">
        <x:f>IFERROR(D29/E29,"")</x:f>
      </x:c>
      <x:c r="J29" s="41" t="n">
        <x:f>E29-D29</x:f>
        <x:v>0</x:v>
      </x:c>
      <x:c r="K29" s="41" t="n">
        <x:f>E29+(H29-C29)</x:f>
        <x:v>0</x:v>
      </x:c>
      <x:c r="L29" s="41" t="n">
        <x:f>FLOOR(K29*0.2,1)</x:f>
        <x:v>0</x:v>
      </x:c>
      <x:c r="M29" s="41" t="n">
        <x:f>MAX(L29-J29,0)</x:f>
        <x:v>0</x:v>
      </x:c>
      <x:c r="N29" s="42" t="n">
        <x:f>F29+G29-1</x:f>
        <x:v>-1</x:v>
      </x:c>
      <x:c r="O29" s="41" t="n">
        <x:f>MAX(N29-C29,0)</x:f>
        <x:v>0</x:v>
      </x:c>
      <x:c r="P29" s="41" t="n">
        <x:f>D29+O29</x:f>
        <x:v>0</x:v>
      </x:c>
      <x:c r="Q29" s="42" t="n">
        <x:f>MAX(C29,N29+1)</x:f>
        <x:v>0</x:v>
      </x:c>
      <x:c r="R29" s="41" t="n">
        <x:f>D29+(H29-C29)</x:f>
        <x:v>0</x:v>
      </x:c>
      <x:c r="S29" s="41" t="n">
        <x:f>K29</x:f>
        <x:v>0</x:v>
      </x:c>
      <x:c r="T29" s="40" t="str">
        <x:f>IFERROR(R29/S29,"")</x:f>
      </x:c>
      <x:c r="U29" s="41" t="n">
        <x:f>IF(T29&lt;0.8,0,1)</x:f>
        <x:v>0</x:v>
      </x:c>
      <x:c r="V29" s="42" t="str">
        <x:f>IF(U29=0,"",Q29+M29)</x:f>
      </x:c>
      <x:c r="W29" s="42" t="str">
        <x:f>IF(U29=0,"",MIN(V29,H29))</x:f>
      </x:c>
      <x:c r="X29" s="41" t="n">
        <x:f>IF(U29=0,0,W29-C29)</x:f>
        <x:v>0</x:v>
      </x:c>
      <x:c r="Y29" s="43" t="str">
        <x:f>IF(U29=0,"Non-Recoverable",IF(V29&gt;H29,"Safe through EOY","Unrecov in "&amp;X29&amp;"d ("&amp;TEXT(W29,"mm/dd")&amp;")"))</x:f>
        <x:v>Non-Recoverable</x:v>
      </x:c>
    </x:row>
    <x:row r="30">
      <x:c r="A30" s="34"/>
      <x:c r="B30" s="34"/>
      <x:c r="C30" s="35"/>
      <x:c r="D30" s="36"/>
      <x:c r="E30" s="36"/>
      <x:c r="F30" s="35"/>
      <x:c r="G30" s="36"/>
      <x:c r="H30" s="35"/>
      <x:c r="I30" s="40" t="str">
        <x:f>IFERROR(D30/E30,"")</x:f>
      </x:c>
      <x:c r="J30" s="41" t="n">
        <x:f>E30-D30</x:f>
        <x:v>0</x:v>
      </x:c>
      <x:c r="K30" s="41" t="n">
        <x:f>E30+(H30-C30)</x:f>
        <x:v>0</x:v>
      </x:c>
      <x:c r="L30" s="41" t="n">
        <x:f>FLOOR(K30*0.2,1)</x:f>
        <x:v>0</x:v>
      </x:c>
      <x:c r="M30" s="41" t="n">
        <x:f>MAX(L30-J30,0)</x:f>
        <x:v>0</x:v>
      </x:c>
      <x:c r="N30" s="42" t="n">
        <x:f>F30+G30-1</x:f>
        <x:v>-1</x:v>
      </x:c>
      <x:c r="O30" s="41" t="n">
        <x:f>MAX(N30-C30,0)</x:f>
        <x:v>0</x:v>
      </x:c>
      <x:c r="P30" s="41" t="n">
        <x:f>D30+O30</x:f>
        <x:v>0</x:v>
      </x:c>
      <x:c r="Q30" s="42" t="n">
        <x:f>MAX(C30,N30+1)</x:f>
        <x:v>0</x:v>
      </x:c>
      <x:c r="R30" s="41" t="n">
        <x:f>D30+(H30-C30)</x:f>
        <x:v>0</x:v>
      </x:c>
      <x:c r="S30" s="41" t="n">
        <x:f>K30</x:f>
        <x:v>0</x:v>
      </x:c>
      <x:c r="T30" s="40" t="str">
        <x:f>IFERROR(R30/S30,"")</x:f>
      </x:c>
      <x:c r="U30" s="41" t="n">
        <x:f>IF(T30&lt;0.8,0,1)</x:f>
        <x:v>0</x:v>
      </x:c>
      <x:c r="V30" s="42" t="str">
        <x:f>IF(U30=0,"",Q30+M30)</x:f>
      </x:c>
      <x:c r="W30" s="42" t="str">
        <x:f>IF(U30=0,"",MIN(V30,H30))</x:f>
      </x:c>
      <x:c r="X30" s="41" t="n">
        <x:f>IF(U30=0,0,W30-C30)</x:f>
        <x:v>0</x:v>
      </x:c>
      <x:c r="Y30" s="43" t="str">
        <x:f>IF(U30=0,"Non-Recoverable",IF(V30&gt;H30,"Safe through EOY","Unrecov in "&amp;X30&amp;"d ("&amp;TEXT(W30,"mm/dd")&amp;")"))</x:f>
        <x:v>Non-Recoverable</x:v>
      </x:c>
    </x:row>
    <x:row r="31">
      <x:c r="A31" s="34"/>
      <x:c r="B31" s="34"/>
      <x:c r="C31" s="35"/>
      <x:c r="D31" s="36"/>
      <x:c r="E31" s="36"/>
      <x:c r="F31" s="35"/>
      <x:c r="G31" s="36"/>
      <x:c r="H31" s="35"/>
      <x:c r="I31" s="40" t="str">
        <x:f>IFERROR(D31/E31,"")</x:f>
      </x:c>
      <x:c r="J31" s="41" t="n">
        <x:f>E31-D31</x:f>
        <x:v>0</x:v>
      </x:c>
      <x:c r="K31" s="41" t="n">
        <x:f>E31+(H31-C31)</x:f>
        <x:v>0</x:v>
      </x:c>
      <x:c r="L31" s="41" t="n">
        <x:f>FLOOR(K31*0.2,1)</x:f>
        <x:v>0</x:v>
      </x:c>
      <x:c r="M31" s="41" t="n">
        <x:f>MAX(L31-J31,0)</x:f>
        <x:v>0</x:v>
      </x:c>
      <x:c r="N31" s="42" t="n">
        <x:f>F31+G31-1</x:f>
        <x:v>-1</x:v>
      </x:c>
      <x:c r="O31" s="41" t="n">
        <x:f>MAX(N31-C31,0)</x:f>
        <x:v>0</x:v>
      </x:c>
      <x:c r="P31" s="41" t="n">
        <x:f>D31+O31</x:f>
        <x:v>0</x:v>
      </x:c>
      <x:c r="Q31" s="42" t="n">
        <x:f>MAX(C31,N31+1)</x:f>
        <x:v>0</x:v>
      </x:c>
      <x:c r="R31" s="41" t="n">
        <x:f>D31+(H31-C31)</x:f>
        <x:v>0</x:v>
      </x:c>
      <x:c r="S31" s="41" t="n">
        <x:f>K31</x:f>
        <x:v>0</x:v>
      </x:c>
      <x:c r="T31" s="40" t="str">
        <x:f>IFERROR(R31/S31,"")</x:f>
      </x:c>
      <x:c r="U31" s="41" t="n">
        <x:f>IF(T31&lt;0.8,0,1)</x:f>
        <x:v>0</x:v>
      </x:c>
      <x:c r="V31" s="42" t="str">
        <x:f>IF(U31=0,"",Q31+M31)</x:f>
      </x:c>
      <x:c r="W31" s="42" t="str">
        <x:f>IF(U31=0,"",MIN(V31,H31))</x:f>
      </x:c>
      <x:c r="X31" s="41" t="n">
        <x:f>IF(U31=0,0,W31-C31)</x:f>
        <x:v>0</x:v>
      </x:c>
      <x:c r="Y31" s="43" t="str">
        <x:f>IF(U31=0,"Non-Recoverable",IF(V31&gt;H31,"Safe through EOY","Unrecov in "&amp;X31&amp;"d ("&amp;TEXT(W31,"mm/dd")&amp;")"))</x:f>
        <x:v>Non-Recoverable</x:v>
      </x:c>
    </x:row>
    <x:row r="32">
      <x:c r="A32" s="34"/>
      <x:c r="B32" s="34"/>
      <x:c r="C32" s="35"/>
      <x:c r="D32" s="36"/>
      <x:c r="E32" s="36"/>
      <x:c r="F32" s="35"/>
      <x:c r="G32" s="36"/>
      <x:c r="H32" s="35"/>
      <x:c r="I32" s="40" t="str">
        <x:f>IFERROR(D32/E32,"")</x:f>
      </x:c>
      <x:c r="J32" s="41" t="n">
        <x:f>E32-D32</x:f>
        <x:v>0</x:v>
      </x:c>
      <x:c r="K32" s="41" t="n">
        <x:f>E32+(H32-C32)</x:f>
        <x:v>0</x:v>
      </x:c>
      <x:c r="L32" s="41" t="n">
        <x:f>FLOOR(K32*0.2,1)</x:f>
        <x:v>0</x:v>
      </x:c>
      <x:c r="M32" s="41" t="n">
        <x:f>MAX(L32-J32,0)</x:f>
        <x:v>0</x:v>
      </x:c>
      <x:c r="N32" s="42" t="n">
        <x:f>F32+G32-1</x:f>
        <x:v>-1</x:v>
      </x:c>
      <x:c r="O32" s="41" t="n">
        <x:f>MAX(N32-C32,0)</x:f>
        <x:v>0</x:v>
      </x:c>
      <x:c r="P32" s="41" t="n">
        <x:f>D32+O32</x:f>
        <x:v>0</x:v>
      </x:c>
      <x:c r="Q32" s="42" t="n">
        <x:f>MAX(C32,N32+1)</x:f>
        <x:v>0</x:v>
      </x:c>
      <x:c r="R32" s="41" t="n">
        <x:f>D32+(H32-C32)</x:f>
        <x:v>0</x:v>
      </x:c>
      <x:c r="S32" s="41" t="n">
        <x:f>K32</x:f>
        <x:v>0</x:v>
      </x:c>
      <x:c r="T32" s="40" t="str">
        <x:f>IFERROR(R32/S32,"")</x:f>
      </x:c>
      <x:c r="U32" s="41" t="n">
        <x:f>IF(T32&lt;0.8,0,1)</x:f>
        <x:v>0</x:v>
      </x:c>
      <x:c r="V32" s="42" t="str">
        <x:f>IF(U32=0,"",Q32+M32)</x:f>
      </x:c>
      <x:c r="W32" s="42" t="str">
        <x:f>IF(U32=0,"",MIN(V32,H32))</x:f>
      </x:c>
      <x:c r="X32" s="41" t="n">
        <x:f>IF(U32=0,0,W32-C32)</x:f>
        <x:v>0</x:v>
      </x:c>
      <x:c r="Y32" s="43" t="str">
        <x:f>IF(U32=0,"Non-Recoverable",IF(V32&gt;H32,"Safe through EOY","Unrecov in "&amp;X32&amp;"d ("&amp;TEXT(W32,"mm/dd")&amp;")"))</x:f>
        <x:v>Non-Recoverable</x:v>
      </x:c>
    </x:row>
    <x:row r="33">
      <x:c r="A33" s="34"/>
      <x:c r="B33" s="34"/>
      <x:c r="C33" s="35"/>
      <x:c r="D33" s="36"/>
      <x:c r="E33" s="36"/>
      <x:c r="F33" s="35"/>
      <x:c r="G33" s="36"/>
      <x:c r="H33" s="35"/>
      <x:c r="I33" s="40" t="str">
        <x:f>IFERROR(D33/E33,"")</x:f>
      </x:c>
      <x:c r="J33" s="41" t="n">
        <x:f>E33-D33</x:f>
        <x:v>0</x:v>
      </x:c>
      <x:c r="K33" s="41" t="n">
        <x:f>E33+(H33-C33)</x:f>
        <x:v>0</x:v>
      </x:c>
      <x:c r="L33" s="41" t="n">
        <x:f>FLOOR(K33*0.2,1)</x:f>
        <x:v>0</x:v>
      </x:c>
      <x:c r="M33" s="41" t="n">
        <x:f>MAX(L33-J33,0)</x:f>
        <x:v>0</x:v>
      </x:c>
      <x:c r="N33" s="42" t="n">
        <x:f>F33+G33-1</x:f>
        <x:v>-1</x:v>
      </x:c>
      <x:c r="O33" s="41" t="n">
        <x:f>MAX(N33-C33,0)</x:f>
        <x:v>0</x:v>
      </x:c>
      <x:c r="P33" s="41" t="n">
        <x:f>D33+O33</x:f>
        <x:v>0</x:v>
      </x:c>
      <x:c r="Q33" s="42" t="n">
        <x:f>MAX(C33,N33+1)</x:f>
        <x:v>0</x:v>
      </x:c>
      <x:c r="R33" s="41" t="n">
        <x:f>D33+(H33-C33)</x:f>
        <x:v>0</x:v>
      </x:c>
      <x:c r="S33" s="41" t="n">
        <x:f>K33</x:f>
        <x:v>0</x:v>
      </x:c>
      <x:c r="T33" s="40" t="str">
        <x:f>IFERROR(R33/S33,"")</x:f>
      </x:c>
      <x:c r="U33" s="41" t="n">
        <x:f>IF(T33&lt;0.8,0,1)</x:f>
        <x:v>0</x:v>
      </x:c>
      <x:c r="V33" s="42" t="str">
        <x:f>IF(U33=0,"",Q33+M33)</x:f>
      </x:c>
      <x:c r="W33" s="42" t="str">
        <x:f>IF(U33=0,"",MIN(V33,H33))</x:f>
      </x:c>
      <x:c r="X33" s="41" t="n">
        <x:f>IF(U33=0,0,W33-C33)</x:f>
        <x:v>0</x:v>
      </x:c>
      <x:c r="Y33" s="43" t="str">
        <x:f>IF(U33=0,"Non-Recoverable",IF(V33&gt;H33,"Safe through EOY","Unrecov in "&amp;X33&amp;"d ("&amp;TEXT(W33,"mm/dd")&amp;")"))</x:f>
        <x:v>Non-Recoverable</x:v>
      </x:c>
    </x:row>
    <x:row r="34">
      <x:c r="A34" s="34"/>
      <x:c r="B34" s="34"/>
      <x:c r="C34" s="35"/>
      <x:c r="D34" s="36"/>
      <x:c r="E34" s="36"/>
      <x:c r="F34" s="35"/>
      <x:c r="G34" s="36"/>
      <x:c r="H34" s="35"/>
      <x:c r="I34" s="40" t="str">
        <x:f>IFERROR(D34/E34,"")</x:f>
      </x:c>
      <x:c r="J34" s="41" t="n">
        <x:f>E34-D34</x:f>
        <x:v>0</x:v>
      </x:c>
      <x:c r="K34" s="41" t="n">
        <x:f>E34+(H34-C34)</x:f>
        <x:v>0</x:v>
      </x:c>
      <x:c r="L34" s="41" t="n">
        <x:f>FLOOR(K34*0.2,1)</x:f>
        <x:v>0</x:v>
      </x:c>
      <x:c r="M34" s="41" t="n">
        <x:f>MAX(L34-J34,0)</x:f>
        <x:v>0</x:v>
      </x:c>
      <x:c r="N34" s="42" t="n">
        <x:f>F34+G34-1</x:f>
        <x:v>-1</x:v>
      </x:c>
      <x:c r="O34" s="41" t="n">
        <x:f>MAX(N34-C34,0)</x:f>
        <x:v>0</x:v>
      </x:c>
      <x:c r="P34" s="41" t="n">
        <x:f>D34+O34</x:f>
        <x:v>0</x:v>
      </x:c>
      <x:c r="Q34" s="42" t="n">
        <x:f>MAX(C34,N34+1)</x:f>
        <x:v>0</x:v>
      </x:c>
      <x:c r="R34" s="41" t="n">
        <x:f>D34+(H34-C34)</x:f>
        <x:v>0</x:v>
      </x:c>
      <x:c r="S34" s="41" t="n">
        <x:f>K34</x:f>
        <x:v>0</x:v>
      </x:c>
      <x:c r="T34" s="40" t="str">
        <x:f>IFERROR(R34/S34,"")</x:f>
      </x:c>
      <x:c r="U34" s="41" t="n">
        <x:f>IF(T34&lt;0.8,0,1)</x:f>
        <x:v>0</x:v>
      </x:c>
      <x:c r="V34" s="42" t="str">
        <x:f>IF(U34=0,"",Q34+M34)</x:f>
      </x:c>
      <x:c r="W34" s="42" t="str">
        <x:f>IF(U34=0,"",MIN(V34,H34))</x:f>
      </x:c>
      <x:c r="X34" s="41" t="n">
        <x:f>IF(U34=0,0,W34-C34)</x:f>
        <x:v>0</x:v>
      </x:c>
      <x:c r="Y34" s="43" t="str">
        <x:f>IF(U34=0,"Non-Recoverable",IF(V34&gt;H34,"Safe through EOY","Unrecov in "&amp;X34&amp;"d ("&amp;TEXT(W34,"mm/dd")&amp;")"))</x:f>
        <x:v>Non-Recoverable</x:v>
      </x:c>
    </x:row>
    <x:row r="35">
      <x:c r="A35" s="34"/>
      <x:c r="B35" s="34"/>
      <x:c r="C35" s="35"/>
      <x:c r="D35" s="36"/>
      <x:c r="E35" s="36"/>
      <x:c r="F35" s="35"/>
      <x:c r="G35" s="36"/>
      <x:c r="H35" s="35"/>
      <x:c r="I35" s="40" t="str">
        <x:f>IFERROR(D35/E35,"")</x:f>
      </x:c>
      <x:c r="J35" s="41" t="n">
        <x:f>E35-D35</x:f>
        <x:v>0</x:v>
      </x:c>
      <x:c r="K35" s="41" t="n">
        <x:f>E35+(H35-C35)</x:f>
        <x:v>0</x:v>
      </x:c>
      <x:c r="L35" s="41" t="n">
        <x:f>FLOOR(K35*0.2,1)</x:f>
        <x:v>0</x:v>
      </x:c>
      <x:c r="M35" s="41" t="n">
        <x:f>MAX(L35-J35,0)</x:f>
        <x:v>0</x:v>
      </x:c>
      <x:c r="N35" s="42" t="n">
        <x:f>F35+G35-1</x:f>
        <x:v>-1</x:v>
      </x:c>
      <x:c r="O35" s="41" t="n">
        <x:f>MAX(N35-C35,0)</x:f>
        <x:v>0</x:v>
      </x:c>
      <x:c r="P35" s="41" t="n">
        <x:f>D35+O35</x:f>
        <x:v>0</x:v>
      </x:c>
      <x:c r="Q35" s="42" t="n">
        <x:f>MAX(C35,N35+1)</x:f>
        <x:v>0</x:v>
      </x:c>
      <x:c r="R35" s="41" t="n">
        <x:f>D35+(H35-C35)</x:f>
        <x:v>0</x:v>
      </x:c>
      <x:c r="S35" s="41" t="n">
        <x:f>K35</x:f>
        <x:v>0</x:v>
      </x:c>
      <x:c r="T35" s="40" t="str">
        <x:f>IFERROR(R35/S35,"")</x:f>
      </x:c>
      <x:c r="U35" s="41" t="n">
        <x:f>IF(T35&lt;0.8,0,1)</x:f>
        <x:v>0</x:v>
      </x:c>
      <x:c r="V35" s="42" t="str">
        <x:f>IF(U35=0,"",Q35+M35)</x:f>
      </x:c>
      <x:c r="W35" s="42" t="str">
        <x:f>IF(U35=0,"",MIN(V35,H35))</x:f>
      </x:c>
      <x:c r="X35" s="41" t="n">
        <x:f>IF(U35=0,0,W35-C35)</x:f>
        <x:v>0</x:v>
      </x:c>
      <x:c r="Y35" s="43" t="str">
        <x:f>IF(U35=0,"Non-Recoverable",IF(V35&gt;H35,"Safe through EOY","Unrecov in "&amp;X35&amp;"d ("&amp;TEXT(W35,"mm/dd")&amp;")"))</x:f>
        <x:v>Non-Recoverable</x:v>
      </x:c>
    </x:row>
    <x:row r="36">
      <x:c r="A36" s="34"/>
      <x:c r="B36" s="34"/>
      <x:c r="C36" s="35"/>
      <x:c r="D36" s="36"/>
      <x:c r="E36" s="36"/>
      <x:c r="F36" s="35"/>
      <x:c r="G36" s="36"/>
      <x:c r="H36" s="35"/>
      <x:c r="I36" s="40" t="str">
        <x:f>IFERROR(D36/E36,"")</x:f>
      </x:c>
      <x:c r="J36" s="41" t="n">
        <x:f>E36-D36</x:f>
        <x:v>0</x:v>
      </x:c>
      <x:c r="K36" s="41" t="n">
        <x:f>E36+(H36-C36)</x:f>
        <x:v>0</x:v>
      </x:c>
      <x:c r="L36" s="41" t="n">
        <x:f>FLOOR(K36*0.2,1)</x:f>
        <x:v>0</x:v>
      </x:c>
      <x:c r="M36" s="41" t="n">
        <x:f>MAX(L36-J36,0)</x:f>
        <x:v>0</x:v>
      </x:c>
      <x:c r="N36" s="42" t="n">
        <x:f>F36+G36-1</x:f>
        <x:v>-1</x:v>
      </x:c>
      <x:c r="O36" s="41" t="n">
        <x:f>MAX(N36-C36,0)</x:f>
        <x:v>0</x:v>
      </x:c>
      <x:c r="P36" s="41" t="n">
        <x:f>D36+O36</x:f>
        <x:v>0</x:v>
      </x:c>
      <x:c r="Q36" s="42" t="n">
        <x:f>MAX(C36,N36+1)</x:f>
        <x:v>0</x:v>
      </x:c>
      <x:c r="R36" s="41" t="n">
        <x:f>D36+(H36-C36)</x:f>
        <x:v>0</x:v>
      </x:c>
      <x:c r="S36" s="41" t="n">
        <x:f>K36</x:f>
        <x:v>0</x:v>
      </x:c>
      <x:c r="T36" s="40" t="str">
        <x:f>IFERROR(R36/S36,"")</x:f>
      </x:c>
      <x:c r="U36" s="41" t="n">
        <x:f>IF(T36&lt;0.8,0,1)</x:f>
        <x:v>0</x:v>
      </x:c>
      <x:c r="V36" s="42" t="str">
        <x:f>IF(U36=0,"",Q36+M36)</x:f>
      </x:c>
      <x:c r="W36" s="42" t="str">
        <x:f>IF(U36=0,"",MIN(V36,H36))</x:f>
      </x:c>
      <x:c r="X36" s="41" t="n">
        <x:f>IF(U36=0,0,W36-C36)</x:f>
        <x:v>0</x:v>
      </x:c>
      <x:c r="Y36" s="43" t="str">
        <x:f>IF(U36=0,"Non-Recoverable",IF(V36&gt;H36,"Safe through EOY","Unrecov in "&amp;X36&amp;"d ("&amp;TEXT(W36,"mm/dd")&amp;")"))</x:f>
        <x:v>Non-Recoverable</x:v>
      </x:c>
    </x:row>
    <x:row r="37">
      <x:c r="A37" s="34"/>
      <x:c r="B37" s="34"/>
      <x:c r="C37" s="35"/>
      <x:c r="D37" s="36"/>
      <x:c r="E37" s="36"/>
      <x:c r="F37" s="35"/>
      <x:c r="G37" s="36"/>
      <x:c r="H37" s="35"/>
      <x:c r="I37" s="40" t="str">
        <x:f>IFERROR(D37/E37,"")</x:f>
      </x:c>
      <x:c r="J37" s="41" t="n">
        <x:f>E37-D37</x:f>
        <x:v>0</x:v>
      </x:c>
      <x:c r="K37" s="41" t="n">
        <x:f>E37+(H37-C37)</x:f>
        <x:v>0</x:v>
      </x:c>
      <x:c r="L37" s="41" t="n">
        <x:f>FLOOR(K37*0.2,1)</x:f>
        <x:v>0</x:v>
      </x:c>
      <x:c r="M37" s="41" t="n">
        <x:f>MAX(L37-J37,0)</x:f>
        <x:v>0</x:v>
      </x:c>
      <x:c r="N37" s="42" t="n">
        <x:f>F37+G37-1</x:f>
        <x:v>-1</x:v>
      </x:c>
      <x:c r="O37" s="41" t="n">
        <x:f>MAX(N37-C37,0)</x:f>
        <x:v>0</x:v>
      </x:c>
      <x:c r="P37" s="41" t="n">
        <x:f>D37+O37</x:f>
        <x:v>0</x:v>
      </x:c>
      <x:c r="Q37" s="42" t="n">
        <x:f>MAX(C37,N37+1)</x:f>
        <x:v>0</x:v>
      </x:c>
      <x:c r="R37" s="41" t="n">
        <x:f>D37+(H37-C37)</x:f>
        <x:v>0</x:v>
      </x:c>
      <x:c r="S37" s="41" t="n">
        <x:f>K37</x:f>
        <x:v>0</x:v>
      </x:c>
      <x:c r="T37" s="40" t="str">
        <x:f>IFERROR(R37/S37,"")</x:f>
      </x:c>
      <x:c r="U37" s="41" t="n">
        <x:f>IF(T37&lt;0.8,0,1)</x:f>
        <x:v>0</x:v>
      </x:c>
      <x:c r="V37" s="42" t="str">
        <x:f>IF(U37=0,"",Q37+M37)</x:f>
      </x:c>
      <x:c r="W37" s="42" t="str">
        <x:f>IF(U37=0,"",MIN(V37,H37))</x:f>
      </x:c>
      <x:c r="X37" s="41" t="n">
        <x:f>IF(U37=0,0,W37-C37)</x:f>
        <x:v>0</x:v>
      </x:c>
      <x:c r="Y37" s="43" t="str">
        <x:f>IF(U37=0,"Non-Recoverable",IF(V37&gt;H37,"Safe through EOY","Unrecov in "&amp;X37&amp;"d ("&amp;TEXT(W37,"mm/dd")&amp;")"))</x:f>
        <x:v>Non-Recoverable</x:v>
      </x:c>
    </x:row>
    <x:row r="38">
      <x:c r="A38" s="34"/>
      <x:c r="B38" s="34"/>
      <x:c r="C38" s="35"/>
      <x:c r="D38" s="36"/>
      <x:c r="E38" s="36"/>
      <x:c r="F38" s="35"/>
      <x:c r="G38" s="36"/>
      <x:c r="H38" s="35"/>
      <x:c r="I38" s="40" t="str">
        <x:f>IFERROR(D38/E38,"")</x:f>
      </x:c>
      <x:c r="J38" s="41" t="n">
        <x:f>E38-D38</x:f>
        <x:v>0</x:v>
      </x:c>
      <x:c r="K38" s="41" t="n">
        <x:f>E38+(H38-C38)</x:f>
        <x:v>0</x:v>
      </x:c>
      <x:c r="L38" s="41" t="n">
        <x:f>FLOOR(K38*0.2,1)</x:f>
        <x:v>0</x:v>
      </x:c>
      <x:c r="M38" s="41" t="n">
        <x:f>MAX(L38-J38,0)</x:f>
        <x:v>0</x:v>
      </x:c>
      <x:c r="N38" s="42" t="n">
        <x:f>F38+G38-1</x:f>
        <x:v>-1</x:v>
      </x:c>
      <x:c r="O38" s="41" t="n">
        <x:f>MAX(N38-C38,0)</x:f>
        <x:v>0</x:v>
      </x:c>
      <x:c r="P38" s="41" t="n">
        <x:f>D38+O38</x:f>
        <x:v>0</x:v>
      </x:c>
      <x:c r="Q38" s="42" t="n">
        <x:f>MAX(C38,N38+1)</x:f>
        <x:v>0</x:v>
      </x:c>
      <x:c r="R38" s="41" t="n">
        <x:f>D38+(H38-C38)</x:f>
        <x:v>0</x:v>
      </x:c>
      <x:c r="S38" s="41" t="n">
        <x:f>K38</x:f>
        <x:v>0</x:v>
      </x:c>
      <x:c r="T38" s="40" t="str">
        <x:f>IFERROR(R38/S38,"")</x:f>
      </x:c>
      <x:c r="U38" s="41" t="n">
        <x:f>IF(T38&lt;0.8,0,1)</x:f>
        <x:v>0</x:v>
      </x:c>
      <x:c r="V38" s="42" t="str">
        <x:f>IF(U38=0,"",Q38+M38)</x:f>
      </x:c>
      <x:c r="W38" s="42" t="str">
        <x:f>IF(U38=0,"",MIN(V38,H38))</x:f>
      </x:c>
      <x:c r="X38" s="41" t="n">
        <x:f>IF(U38=0,0,W38-C38)</x:f>
        <x:v>0</x:v>
      </x:c>
      <x:c r="Y38" s="43" t="str">
        <x:f>IF(U38=0,"Non-Recoverable",IF(V38&gt;H38,"Safe through EOY","Unrecov in "&amp;X38&amp;"d ("&amp;TEXT(W38,"mm/dd")&amp;")"))</x:f>
        <x:v>Non-Recoverable</x:v>
      </x:c>
    </x:row>
    <x:row r="39">
      <x:c r="A39" s="34"/>
      <x:c r="B39" s="34"/>
      <x:c r="C39" s="35"/>
      <x:c r="D39" s="36"/>
      <x:c r="E39" s="36"/>
      <x:c r="F39" s="35"/>
      <x:c r="G39" s="36"/>
      <x:c r="H39" s="35"/>
      <x:c r="I39" s="40" t="str">
        <x:f>IFERROR(D39/E39,"")</x:f>
      </x:c>
      <x:c r="J39" s="41" t="n">
        <x:f>E39-D39</x:f>
        <x:v>0</x:v>
      </x:c>
      <x:c r="K39" s="41" t="n">
        <x:f>E39+(H39-C39)</x:f>
        <x:v>0</x:v>
      </x:c>
      <x:c r="L39" s="41" t="n">
        <x:f>FLOOR(K39*0.2,1)</x:f>
        <x:v>0</x:v>
      </x:c>
      <x:c r="M39" s="41" t="n">
        <x:f>MAX(L39-J39,0)</x:f>
        <x:v>0</x:v>
      </x:c>
      <x:c r="N39" s="42" t="n">
        <x:f>F39+G39-1</x:f>
        <x:v>-1</x:v>
      </x:c>
      <x:c r="O39" s="41" t="n">
        <x:f>MAX(N39-C39,0)</x:f>
        <x:v>0</x:v>
      </x:c>
      <x:c r="P39" s="41" t="n">
        <x:f>D39+O39</x:f>
        <x:v>0</x:v>
      </x:c>
      <x:c r="Q39" s="42" t="n">
        <x:f>MAX(C39,N39+1)</x:f>
        <x:v>0</x:v>
      </x:c>
      <x:c r="R39" s="41" t="n">
        <x:f>D39+(H39-C39)</x:f>
        <x:v>0</x:v>
      </x:c>
      <x:c r="S39" s="41" t="n">
        <x:f>K39</x:f>
        <x:v>0</x:v>
      </x:c>
      <x:c r="T39" s="40" t="str">
        <x:f>IFERROR(R39/S39,"")</x:f>
      </x:c>
      <x:c r="U39" s="41" t="n">
        <x:f>IF(T39&lt;0.8,0,1)</x:f>
        <x:v>0</x:v>
      </x:c>
      <x:c r="V39" s="42" t="str">
        <x:f>IF(U39=0,"",Q39+M39)</x:f>
      </x:c>
      <x:c r="W39" s="42" t="str">
        <x:f>IF(U39=0,"",MIN(V39,H39))</x:f>
      </x:c>
      <x:c r="X39" s="41" t="n">
        <x:f>IF(U39=0,0,W39-C39)</x:f>
        <x:v>0</x:v>
      </x:c>
      <x:c r="Y39" s="43" t="str">
        <x:f>IF(U39=0,"Non-Recoverable",IF(V39&gt;H39,"Safe through EOY","Unrecov in "&amp;X39&amp;"d ("&amp;TEXT(W39,"mm/dd")&amp;")"))</x:f>
        <x:v>Non-Recoverable</x:v>
      </x:c>
    </x:row>
    <x:row r="40">
      <x:c r="A40" s="34"/>
      <x:c r="B40" s="34"/>
      <x:c r="C40" s="35"/>
      <x:c r="D40" s="36"/>
      <x:c r="E40" s="36"/>
      <x:c r="F40" s="35"/>
      <x:c r="G40" s="36"/>
      <x:c r="H40" s="35"/>
      <x:c r="I40" s="40" t="str">
        <x:f>IFERROR(D40/E40,"")</x:f>
      </x:c>
      <x:c r="J40" s="41" t="n">
        <x:f>E40-D40</x:f>
        <x:v>0</x:v>
      </x:c>
      <x:c r="K40" s="41" t="n">
        <x:f>E40+(H40-C40)</x:f>
        <x:v>0</x:v>
      </x:c>
      <x:c r="L40" s="41" t="n">
        <x:f>FLOOR(K40*0.2,1)</x:f>
        <x:v>0</x:v>
      </x:c>
      <x:c r="M40" s="41" t="n">
        <x:f>MAX(L40-J40,0)</x:f>
        <x:v>0</x:v>
      </x:c>
      <x:c r="N40" s="42" t="n">
        <x:f>F40+G40-1</x:f>
        <x:v>-1</x:v>
      </x:c>
      <x:c r="O40" s="41" t="n">
        <x:f>MAX(N40-C40,0)</x:f>
        <x:v>0</x:v>
      </x:c>
      <x:c r="P40" s="41" t="n">
        <x:f>D40+O40</x:f>
        <x:v>0</x:v>
      </x:c>
      <x:c r="Q40" s="42" t="n">
        <x:f>MAX(C40,N40+1)</x:f>
        <x:v>0</x:v>
      </x:c>
      <x:c r="R40" s="41" t="n">
        <x:f>D40+(H40-C40)</x:f>
        <x:v>0</x:v>
      </x:c>
      <x:c r="S40" s="41" t="n">
        <x:f>K40</x:f>
        <x:v>0</x:v>
      </x:c>
      <x:c r="T40" s="40" t="str">
        <x:f>IFERROR(R40/S40,"")</x:f>
      </x:c>
      <x:c r="U40" s="41" t="n">
        <x:f>IF(T40&lt;0.8,0,1)</x:f>
        <x:v>0</x:v>
      </x:c>
      <x:c r="V40" s="42" t="str">
        <x:f>IF(U40=0,"",Q40+M40)</x:f>
      </x:c>
      <x:c r="W40" s="42" t="str">
        <x:f>IF(U40=0,"",MIN(V40,H40))</x:f>
      </x:c>
      <x:c r="X40" s="41" t="n">
        <x:f>IF(U40=0,0,W40-C40)</x:f>
        <x:v>0</x:v>
      </x:c>
      <x:c r="Y40" s="43" t="str">
        <x:f>IF(U40=0,"Non-Recoverable",IF(V40&gt;H40,"Safe through EOY","Unrecov in "&amp;X40&amp;"d ("&amp;TEXT(W40,"mm/dd")&amp;")"))</x:f>
        <x:v>Non-Recoverable</x:v>
      </x:c>
    </x:row>
    <x:row r="41">
      <x:c r="A41" s="34"/>
      <x:c r="B41" s="34"/>
      <x:c r="C41" s="35"/>
      <x:c r="D41" s="36"/>
      <x:c r="E41" s="36"/>
      <x:c r="F41" s="35"/>
      <x:c r="G41" s="36"/>
      <x:c r="H41" s="35"/>
      <x:c r="I41" s="40" t="str">
        <x:f>IFERROR(D41/E41,"")</x:f>
      </x:c>
      <x:c r="J41" s="41" t="n">
        <x:f>E41-D41</x:f>
        <x:v>0</x:v>
      </x:c>
      <x:c r="K41" s="41" t="n">
        <x:f>E41+(H41-C41)</x:f>
        <x:v>0</x:v>
      </x:c>
      <x:c r="L41" s="41" t="n">
        <x:f>FLOOR(K41*0.2,1)</x:f>
        <x:v>0</x:v>
      </x:c>
      <x:c r="M41" s="41" t="n">
        <x:f>MAX(L41-J41,0)</x:f>
        <x:v>0</x:v>
      </x:c>
      <x:c r="N41" s="42" t="n">
        <x:f>F41+G41-1</x:f>
        <x:v>-1</x:v>
      </x:c>
      <x:c r="O41" s="41" t="n">
        <x:f>MAX(N41-C41,0)</x:f>
        <x:v>0</x:v>
      </x:c>
      <x:c r="P41" s="41" t="n">
        <x:f>D41+O41</x:f>
        <x:v>0</x:v>
      </x:c>
      <x:c r="Q41" s="42" t="n">
        <x:f>MAX(C41,N41+1)</x:f>
        <x:v>0</x:v>
      </x:c>
      <x:c r="R41" s="41" t="n">
        <x:f>D41+(H41-C41)</x:f>
        <x:v>0</x:v>
      </x:c>
      <x:c r="S41" s="41" t="n">
        <x:f>K41</x:f>
        <x:v>0</x:v>
      </x:c>
      <x:c r="T41" s="40" t="str">
        <x:f>IFERROR(R41/S41,"")</x:f>
      </x:c>
      <x:c r="U41" s="41" t="n">
        <x:f>IF(T41&lt;0.8,0,1)</x:f>
        <x:v>0</x:v>
      </x:c>
      <x:c r="V41" s="42" t="str">
        <x:f>IF(U41=0,"",Q41+M41)</x:f>
      </x:c>
      <x:c r="W41" s="42" t="str">
        <x:f>IF(U41=0,"",MIN(V41,H41))</x:f>
      </x:c>
      <x:c r="X41" s="41" t="n">
        <x:f>IF(U41=0,0,W41-C41)</x:f>
        <x:v>0</x:v>
      </x:c>
      <x:c r="Y41" s="43" t="str">
        <x:f>IF(U41=0,"Non-Recoverable",IF(V41&gt;H41,"Safe through EOY","Unrecov in "&amp;X41&amp;"d ("&amp;TEXT(W41,"mm/dd")&amp;")"))</x:f>
        <x:v>Non-Recoverable</x:v>
      </x:c>
    </x:row>
    <x:row r="42">
      <x:c r="A42" s="34"/>
      <x:c r="B42" s="34"/>
      <x:c r="C42" s="35"/>
      <x:c r="D42" s="36"/>
      <x:c r="E42" s="36"/>
      <x:c r="F42" s="35"/>
      <x:c r="G42" s="36"/>
      <x:c r="H42" s="35"/>
      <x:c r="I42" s="40" t="str">
        <x:f>IFERROR(D42/E42,"")</x:f>
      </x:c>
      <x:c r="J42" s="41" t="n">
        <x:f>E42-D42</x:f>
        <x:v>0</x:v>
      </x:c>
      <x:c r="K42" s="41" t="n">
        <x:f>E42+(H42-C42)</x:f>
        <x:v>0</x:v>
      </x:c>
      <x:c r="L42" s="41" t="n">
        <x:f>FLOOR(K42*0.2,1)</x:f>
        <x:v>0</x:v>
      </x:c>
      <x:c r="M42" s="41" t="n">
        <x:f>MAX(L42-J42,0)</x:f>
        <x:v>0</x:v>
      </x:c>
      <x:c r="N42" s="42" t="n">
        <x:f>F42+G42-1</x:f>
        <x:v>-1</x:v>
      </x:c>
      <x:c r="O42" s="41" t="n">
        <x:f>MAX(N42-C42,0)</x:f>
        <x:v>0</x:v>
      </x:c>
      <x:c r="P42" s="41" t="n">
        <x:f>D42+O42</x:f>
        <x:v>0</x:v>
      </x:c>
      <x:c r="Q42" s="42" t="n">
        <x:f>MAX(C42,N42+1)</x:f>
        <x:v>0</x:v>
      </x:c>
      <x:c r="R42" s="41" t="n">
        <x:f>D42+(H42-C42)</x:f>
        <x:v>0</x:v>
      </x:c>
      <x:c r="S42" s="41" t="n">
        <x:f>K42</x:f>
        <x:v>0</x:v>
      </x:c>
      <x:c r="T42" s="40" t="str">
        <x:f>IFERROR(R42/S42,"")</x:f>
      </x:c>
      <x:c r="U42" s="41" t="n">
        <x:f>IF(T42&lt;0.8,0,1)</x:f>
        <x:v>0</x:v>
      </x:c>
      <x:c r="V42" s="42" t="str">
        <x:f>IF(U42=0,"",Q42+M42)</x:f>
      </x:c>
      <x:c r="W42" s="42" t="str">
        <x:f>IF(U42=0,"",MIN(V42,H42))</x:f>
      </x:c>
      <x:c r="X42" s="41" t="n">
        <x:f>IF(U42=0,0,W42-C42)</x:f>
        <x:v>0</x:v>
      </x:c>
      <x:c r="Y42" s="43" t="str">
        <x:f>IF(U42=0,"Non-Recoverable",IF(V42&gt;H42,"Safe through EOY","Unrecov in "&amp;X42&amp;"d ("&amp;TEXT(W42,"mm/dd")&amp;")"))</x:f>
        <x:v>Non-Recoverable</x:v>
      </x:c>
    </x:row>
    <x:row r="43">
      <x:c r="A43" s="34"/>
      <x:c r="B43" s="34"/>
      <x:c r="C43" s="35"/>
      <x:c r="D43" s="36"/>
      <x:c r="E43" s="36"/>
      <x:c r="F43" s="35"/>
      <x:c r="G43" s="36"/>
      <x:c r="H43" s="35"/>
      <x:c r="I43" s="40" t="str">
        <x:f>IFERROR(D43/E43,"")</x:f>
      </x:c>
      <x:c r="J43" s="41" t="n">
        <x:f>E43-D43</x:f>
        <x:v>0</x:v>
      </x:c>
      <x:c r="K43" s="41" t="n">
        <x:f>E43+(H43-C43)</x:f>
        <x:v>0</x:v>
      </x:c>
      <x:c r="L43" s="41" t="n">
        <x:f>FLOOR(K43*0.2,1)</x:f>
        <x:v>0</x:v>
      </x:c>
      <x:c r="M43" s="41" t="n">
        <x:f>MAX(L43-J43,0)</x:f>
        <x:v>0</x:v>
      </x:c>
      <x:c r="N43" s="42" t="n">
        <x:f>F43+G43-1</x:f>
        <x:v>-1</x:v>
      </x:c>
      <x:c r="O43" s="41" t="n">
        <x:f>MAX(N43-C43,0)</x:f>
        <x:v>0</x:v>
      </x:c>
      <x:c r="P43" s="41" t="n">
        <x:f>D43+O43</x:f>
        <x:v>0</x:v>
      </x:c>
      <x:c r="Q43" s="42" t="n">
        <x:f>MAX(C43,N43+1)</x:f>
        <x:v>0</x:v>
      </x:c>
      <x:c r="R43" s="41" t="n">
        <x:f>D43+(H43-C43)</x:f>
        <x:v>0</x:v>
      </x:c>
      <x:c r="S43" s="41" t="n">
        <x:f>K43</x:f>
        <x:v>0</x:v>
      </x:c>
      <x:c r="T43" s="40" t="str">
        <x:f>IFERROR(R43/S43,"")</x:f>
      </x:c>
      <x:c r="U43" s="41" t="n">
        <x:f>IF(T43&lt;0.8,0,1)</x:f>
        <x:v>0</x:v>
      </x:c>
      <x:c r="V43" s="42" t="str">
        <x:f>IF(U43=0,"",Q43+M43)</x:f>
      </x:c>
      <x:c r="W43" s="42" t="str">
        <x:f>IF(U43=0,"",MIN(V43,H43))</x:f>
      </x:c>
      <x:c r="X43" s="41" t="n">
        <x:f>IF(U43=0,0,W43-C43)</x:f>
        <x:v>0</x:v>
      </x:c>
      <x:c r="Y43" s="43" t="str">
        <x:f>IF(U43=0,"Non-Recoverable",IF(V43&gt;H43,"Safe through EOY","Unrecov in "&amp;X43&amp;"d ("&amp;TEXT(W43,"mm/dd")&amp;")"))</x:f>
        <x:v>Non-Recoverable</x:v>
      </x:c>
    </x:row>
    <x:row r="44">
      <x:c r="A44" s="34"/>
      <x:c r="B44" s="34"/>
      <x:c r="C44" s="35"/>
      <x:c r="D44" s="36"/>
      <x:c r="E44" s="36"/>
      <x:c r="F44" s="35"/>
      <x:c r="G44" s="36"/>
      <x:c r="H44" s="35"/>
      <x:c r="I44" s="40" t="str">
        <x:f>IFERROR(D44/E44,"")</x:f>
      </x:c>
      <x:c r="J44" s="41" t="n">
        <x:f>E44-D44</x:f>
        <x:v>0</x:v>
      </x:c>
      <x:c r="K44" s="41" t="n">
        <x:f>E44+(H44-C44)</x:f>
        <x:v>0</x:v>
      </x:c>
      <x:c r="L44" s="41" t="n">
        <x:f>FLOOR(K44*0.2,1)</x:f>
        <x:v>0</x:v>
      </x:c>
      <x:c r="M44" s="41" t="n">
        <x:f>MAX(L44-J44,0)</x:f>
        <x:v>0</x:v>
      </x:c>
      <x:c r="N44" s="42" t="n">
        <x:f>F44+G44-1</x:f>
        <x:v>-1</x:v>
      </x:c>
      <x:c r="O44" s="41" t="n">
        <x:f>MAX(N44-C44,0)</x:f>
        <x:v>0</x:v>
      </x:c>
      <x:c r="P44" s="41" t="n">
        <x:f>D44+O44</x:f>
        <x:v>0</x:v>
      </x:c>
      <x:c r="Q44" s="42" t="n">
        <x:f>MAX(C44,N44+1)</x:f>
        <x:v>0</x:v>
      </x:c>
      <x:c r="R44" s="41" t="n">
        <x:f>D44+(H44-C44)</x:f>
        <x:v>0</x:v>
      </x:c>
      <x:c r="S44" s="41" t="n">
        <x:f>K44</x:f>
        <x:v>0</x:v>
      </x:c>
      <x:c r="T44" s="40" t="str">
        <x:f>IFERROR(R44/S44,"")</x:f>
      </x:c>
      <x:c r="U44" s="41" t="n">
        <x:f>IF(T44&lt;0.8,0,1)</x:f>
        <x:v>0</x:v>
      </x:c>
      <x:c r="V44" s="42" t="str">
        <x:f>IF(U44=0,"",Q44+M44)</x:f>
      </x:c>
      <x:c r="W44" s="42" t="str">
        <x:f>IF(U44=0,"",MIN(V44,H44))</x:f>
      </x:c>
      <x:c r="X44" s="41" t="n">
        <x:f>IF(U44=0,0,W44-C44)</x:f>
        <x:v>0</x:v>
      </x:c>
      <x:c r="Y44" s="43" t="str">
        <x:f>IF(U44=0,"Non-Recoverable",IF(V44&gt;H44,"Safe through EOY","Unrecov in "&amp;X44&amp;"d ("&amp;TEXT(W44,"mm/dd")&amp;")"))</x:f>
        <x:v>Non-Recoverable</x:v>
      </x:c>
    </x:row>
    <x:row r="45">
      <x:c r="A45" s="34"/>
      <x:c r="B45" s="34"/>
      <x:c r="C45" s="35"/>
      <x:c r="D45" s="36"/>
      <x:c r="E45" s="36"/>
      <x:c r="F45" s="35"/>
      <x:c r="G45" s="36"/>
      <x:c r="H45" s="35"/>
      <x:c r="I45" s="40" t="str">
        <x:f>IFERROR(D45/E45,"")</x:f>
      </x:c>
      <x:c r="J45" s="41" t="n">
        <x:f>E45-D45</x:f>
        <x:v>0</x:v>
      </x:c>
      <x:c r="K45" s="41" t="n">
        <x:f>E45+(H45-C45)</x:f>
        <x:v>0</x:v>
      </x:c>
      <x:c r="L45" s="41" t="n">
        <x:f>FLOOR(K45*0.2,1)</x:f>
        <x:v>0</x:v>
      </x:c>
      <x:c r="M45" s="41" t="n">
        <x:f>MAX(L45-J45,0)</x:f>
        <x:v>0</x:v>
      </x:c>
      <x:c r="N45" s="42" t="n">
        <x:f>F45+G45-1</x:f>
        <x:v>-1</x:v>
      </x:c>
      <x:c r="O45" s="41" t="n">
        <x:f>MAX(N45-C45,0)</x:f>
        <x:v>0</x:v>
      </x:c>
      <x:c r="P45" s="41" t="n">
        <x:f>D45+O45</x:f>
        <x:v>0</x:v>
      </x:c>
      <x:c r="Q45" s="42" t="n">
        <x:f>MAX(C45,N45+1)</x:f>
        <x:v>0</x:v>
      </x:c>
      <x:c r="R45" s="41" t="n">
        <x:f>D45+(H45-C45)</x:f>
        <x:v>0</x:v>
      </x:c>
      <x:c r="S45" s="41" t="n">
        <x:f>K45</x:f>
        <x:v>0</x:v>
      </x:c>
      <x:c r="T45" s="40" t="str">
        <x:f>IFERROR(R45/S45,"")</x:f>
      </x:c>
      <x:c r="U45" s="41" t="n">
        <x:f>IF(T45&lt;0.8,0,1)</x:f>
        <x:v>0</x:v>
      </x:c>
      <x:c r="V45" s="42" t="str">
        <x:f>IF(U45=0,"",Q45+M45)</x:f>
      </x:c>
      <x:c r="W45" s="42" t="str">
        <x:f>IF(U45=0,"",MIN(V45,H45))</x:f>
      </x:c>
      <x:c r="X45" s="41" t="n">
        <x:f>IF(U45=0,0,W45-C45)</x:f>
        <x:v>0</x:v>
      </x:c>
      <x:c r="Y45" s="43" t="str">
        <x:f>IF(U45=0,"Non-Recoverable",IF(V45&gt;H45,"Safe through EOY","Unrecov in "&amp;X45&amp;"d ("&amp;TEXT(W45,"mm/dd")&amp;")"))</x:f>
        <x:v>Non-Recoverable</x:v>
      </x:c>
    </x:row>
    <x:row r="46">
      <x:c r="A46" s="34"/>
      <x:c r="B46" s="34"/>
      <x:c r="C46" s="35"/>
      <x:c r="D46" s="36"/>
      <x:c r="E46" s="36"/>
      <x:c r="F46" s="35"/>
      <x:c r="G46" s="36"/>
      <x:c r="H46" s="35"/>
      <x:c r="I46" s="40" t="str">
        <x:f>IFERROR(D46/E46,"")</x:f>
      </x:c>
      <x:c r="J46" s="41" t="n">
        <x:f>E46-D46</x:f>
        <x:v>0</x:v>
      </x:c>
      <x:c r="K46" s="41" t="n">
        <x:f>E46+(H46-C46)</x:f>
        <x:v>0</x:v>
      </x:c>
      <x:c r="L46" s="41" t="n">
        <x:f>FLOOR(K46*0.2,1)</x:f>
        <x:v>0</x:v>
      </x:c>
      <x:c r="M46" s="41" t="n">
        <x:f>MAX(L46-J46,0)</x:f>
        <x:v>0</x:v>
      </x:c>
      <x:c r="N46" s="42" t="n">
        <x:f>F46+G46-1</x:f>
        <x:v>-1</x:v>
      </x:c>
      <x:c r="O46" s="41" t="n">
        <x:f>MAX(N46-C46,0)</x:f>
        <x:v>0</x:v>
      </x:c>
      <x:c r="P46" s="41" t="n">
        <x:f>D46+O46</x:f>
        <x:v>0</x:v>
      </x:c>
      <x:c r="Q46" s="42" t="n">
        <x:f>MAX(C46,N46+1)</x:f>
        <x:v>0</x:v>
      </x:c>
      <x:c r="R46" s="41" t="n">
        <x:f>D46+(H46-C46)</x:f>
        <x:v>0</x:v>
      </x:c>
      <x:c r="S46" s="41" t="n">
        <x:f>K46</x:f>
        <x:v>0</x:v>
      </x:c>
      <x:c r="T46" s="40" t="str">
        <x:f>IFERROR(R46/S46,"")</x:f>
      </x:c>
      <x:c r="U46" s="41" t="n">
        <x:f>IF(T46&lt;0.8,0,1)</x:f>
        <x:v>0</x:v>
      </x:c>
      <x:c r="V46" s="42" t="str">
        <x:f>IF(U46=0,"",Q46+M46)</x:f>
      </x:c>
      <x:c r="W46" s="42" t="str">
        <x:f>IF(U46=0,"",MIN(V46,H46))</x:f>
      </x:c>
      <x:c r="X46" s="41" t="n">
        <x:f>IF(U46=0,0,W46-C46)</x:f>
        <x:v>0</x:v>
      </x:c>
      <x:c r="Y46" s="43" t="str">
        <x:f>IF(U46=0,"Non-Recoverable",IF(V46&gt;H46,"Safe through EOY","Unrecov in "&amp;X46&amp;"d ("&amp;TEXT(W46,"mm/dd")&amp;")"))</x:f>
        <x:v>Non-Recoverable</x:v>
      </x:c>
    </x:row>
    <x:row r="47">
      <x:c r="A47" s="34"/>
      <x:c r="B47" s="34"/>
      <x:c r="C47" s="35"/>
      <x:c r="D47" s="36"/>
      <x:c r="E47" s="36"/>
      <x:c r="F47" s="35"/>
      <x:c r="G47" s="36"/>
      <x:c r="H47" s="35"/>
      <x:c r="I47" s="40" t="str">
        <x:f>IFERROR(D47/E47,"")</x:f>
      </x:c>
      <x:c r="J47" s="41" t="n">
        <x:f>E47-D47</x:f>
        <x:v>0</x:v>
      </x:c>
      <x:c r="K47" s="41" t="n">
        <x:f>E47+(H47-C47)</x:f>
        <x:v>0</x:v>
      </x:c>
      <x:c r="L47" s="41" t="n">
        <x:f>FLOOR(K47*0.2,1)</x:f>
        <x:v>0</x:v>
      </x:c>
      <x:c r="M47" s="41" t="n">
        <x:f>MAX(L47-J47,0)</x:f>
        <x:v>0</x:v>
      </x:c>
      <x:c r="N47" s="42" t="n">
        <x:f>F47+G47-1</x:f>
        <x:v>-1</x:v>
      </x:c>
      <x:c r="O47" s="41" t="n">
        <x:f>MAX(N47-C47,0)</x:f>
        <x:v>0</x:v>
      </x:c>
      <x:c r="P47" s="41" t="n">
        <x:f>D47+O47</x:f>
        <x:v>0</x:v>
      </x:c>
      <x:c r="Q47" s="42" t="n">
        <x:f>MAX(C47,N47+1)</x:f>
        <x:v>0</x:v>
      </x:c>
      <x:c r="R47" s="41" t="n">
        <x:f>D47+(H47-C47)</x:f>
        <x:v>0</x:v>
      </x:c>
      <x:c r="S47" s="41" t="n">
        <x:f>K47</x:f>
        <x:v>0</x:v>
      </x:c>
      <x:c r="T47" s="40" t="str">
        <x:f>IFERROR(R47/S47,"")</x:f>
      </x:c>
      <x:c r="U47" s="41" t="n">
        <x:f>IF(T47&lt;0.8,0,1)</x:f>
        <x:v>0</x:v>
      </x:c>
      <x:c r="V47" s="42" t="str">
        <x:f>IF(U47=0,"",Q47+M47)</x:f>
      </x:c>
      <x:c r="W47" s="42" t="str">
        <x:f>IF(U47=0,"",MIN(V47,H47))</x:f>
      </x:c>
      <x:c r="X47" s="41" t="n">
        <x:f>IF(U47=0,0,W47-C47)</x:f>
        <x:v>0</x:v>
      </x:c>
      <x:c r="Y47" s="43" t="str">
        <x:f>IF(U47=0,"Non-Recoverable",IF(V47&gt;H47,"Safe through EOY","Unrecov in "&amp;X47&amp;"d ("&amp;TEXT(W47,"mm/dd")&amp;")"))</x:f>
        <x:v>Non-Recoverable</x:v>
      </x:c>
    </x:row>
    <x:row r="48">
      <x:c r="A48" s="34"/>
      <x:c r="B48" s="34"/>
      <x:c r="C48" s="35"/>
      <x:c r="D48" s="36"/>
      <x:c r="E48" s="36"/>
      <x:c r="F48" s="35"/>
      <x:c r="G48" s="36"/>
      <x:c r="H48" s="35"/>
      <x:c r="I48" s="40" t="str">
        <x:f>IFERROR(D48/E48,"")</x:f>
      </x:c>
      <x:c r="J48" s="41" t="n">
        <x:f>E48-D48</x:f>
        <x:v>0</x:v>
      </x:c>
      <x:c r="K48" s="41" t="n">
        <x:f>E48+(H48-C48)</x:f>
        <x:v>0</x:v>
      </x:c>
      <x:c r="L48" s="41" t="n">
        <x:f>FLOOR(K48*0.2,1)</x:f>
        <x:v>0</x:v>
      </x:c>
      <x:c r="M48" s="41" t="n">
        <x:f>MAX(L48-J48,0)</x:f>
        <x:v>0</x:v>
      </x:c>
      <x:c r="N48" s="42" t="n">
        <x:f>F48+G48-1</x:f>
        <x:v>-1</x:v>
      </x:c>
      <x:c r="O48" s="41" t="n">
        <x:f>MAX(N48-C48,0)</x:f>
        <x:v>0</x:v>
      </x:c>
      <x:c r="P48" s="41" t="n">
        <x:f>D48+O48</x:f>
        <x:v>0</x:v>
      </x:c>
      <x:c r="Q48" s="42" t="n">
        <x:f>MAX(C48,N48+1)</x:f>
        <x:v>0</x:v>
      </x:c>
      <x:c r="R48" s="41" t="n">
        <x:f>D48+(H48-C48)</x:f>
        <x:v>0</x:v>
      </x:c>
      <x:c r="S48" s="41" t="n">
        <x:f>K48</x:f>
        <x:v>0</x:v>
      </x:c>
      <x:c r="T48" s="40" t="str">
        <x:f>IFERROR(R48/S48,"")</x:f>
      </x:c>
      <x:c r="U48" s="41" t="n">
        <x:f>IF(T48&lt;0.8,0,1)</x:f>
        <x:v>0</x:v>
      </x:c>
      <x:c r="V48" s="42" t="str">
        <x:f>IF(U48=0,"",Q48+M48)</x:f>
      </x:c>
      <x:c r="W48" s="42" t="str">
        <x:f>IF(U48=0,"",MIN(V48,H48))</x:f>
      </x:c>
      <x:c r="X48" s="41" t="n">
        <x:f>IF(U48=0,0,W48-C48)</x:f>
        <x:v>0</x:v>
      </x:c>
      <x:c r="Y48" s="43" t="str">
        <x:f>IF(U48=0,"Non-Recoverable",IF(V48&gt;H48,"Safe through EOY","Unrecov in "&amp;X48&amp;"d ("&amp;TEXT(W48,"mm/dd")&amp;")"))</x:f>
        <x:v>Non-Recoverable</x:v>
      </x:c>
    </x:row>
    <x:row r="49">
      <x:c r="A49" s="34"/>
      <x:c r="B49" s="34"/>
      <x:c r="C49" s="35"/>
      <x:c r="D49" s="36"/>
      <x:c r="E49" s="36"/>
      <x:c r="F49" s="35"/>
      <x:c r="G49" s="36"/>
      <x:c r="H49" s="35"/>
      <x:c r="I49" s="40" t="str">
        <x:f>IFERROR(D49/E49,"")</x:f>
      </x:c>
      <x:c r="J49" s="41" t="n">
        <x:f>E49-D49</x:f>
        <x:v>0</x:v>
      </x:c>
      <x:c r="K49" s="41" t="n">
        <x:f>E49+(H49-C49)</x:f>
        <x:v>0</x:v>
      </x:c>
      <x:c r="L49" s="41" t="n">
        <x:f>FLOOR(K49*0.2,1)</x:f>
        <x:v>0</x:v>
      </x:c>
      <x:c r="M49" s="41" t="n">
        <x:f>MAX(L49-J49,0)</x:f>
        <x:v>0</x:v>
      </x:c>
      <x:c r="N49" s="42" t="n">
        <x:f>F49+G49-1</x:f>
        <x:v>-1</x:v>
      </x:c>
      <x:c r="O49" s="41" t="n">
        <x:f>MAX(N49-C49,0)</x:f>
        <x:v>0</x:v>
      </x:c>
      <x:c r="P49" s="41" t="n">
        <x:f>D49+O49</x:f>
        <x:v>0</x:v>
      </x:c>
      <x:c r="Q49" s="42" t="n">
        <x:f>MAX(C49,N49+1)</x:f>
        <x:v>0</x:v>
      </x:c>
      <x:c r="R49" s="41" t="n">
        <x:f>D49+(H49-C49)</x:f>
        <x:v>0</x:v>
      </x:c>
      <x:c r="S49" s="41" t="n">
        <x:f>K49</x:f>
        <x:v>0</x:v>
      </x:c>
      <x:c r="T49" s="40" t="str">
        <x:f>IFERROR(R49/S49,"")</x:f>
      </x:c>
      <x:c r="U49" s="41" t="n">
        <x:f>IF(T49&lt;0.8,0,1)</x:f>
        <x:v>0</x:v>
      </x:c>
      <x:c r="V49" s="42" t="str">
        <x:f>IF(U49=0,"",Q49+M49)</x:f>
      </x:c>
      <x:c r="W49" s="42" t="str">
        <x:f>IF(U49=0,"",MIN(V49,H49))</x:f>
      </x:c>
      <x:c r="X49" s="41" t="n">
        <x:f>IF(U49=0,0,W49-C49)</x:f>
        <x:v>0</x:v>
      </x:c>
      <x:c r="Y49" s="43" t="str">
        <x:f>IF(U49=0,"Non-Recoverable",IF(V49&gt;H49,"Safe through EOY","Unrecov in "&amp;X49&amp;"d ("&amp;TEXT(W49,"mm/dd")&amp;")"))</x:f>
        <x:v>Non-Recoverable</x:v>
      </x:c>
    </x:row>
    <x:row r="50">
      <x:c r="A50" s="34"/>
      <x:c r="B50" s="34"/>
      <x:c r="C50" s="35"/>
      <x:c r="D50" s="36"/>
      <x:c r="E50" s="36"/>
      <x:c r="F50" s="35"/>
      <x:c r="G50" s="36"/>
      <x:c r="H50" s="35"/>
      <x:c r="I50" s="40" t="str">
        <x:f>IFERROR(D50/E50,"")</x:f>
      </x:c>
      <x:c r="J50" s="41" t="n">
        <x:f>E50-D50</x:f>
        <x:v>0</x:v>
      </x:c>
      <x:c r="K50" s="41" t="n">
        <x:f>E50+(H50-C50)</x:f>
        <x:v>0</x:v>
      </x:c>
      <x:c r="L50" s="41" t="n">
        <x:f>FLOOR(K50*0.2,1)</x:f>
        <x:v>0</x:v>
      </x:c>
      <x:c r="M50" s="41" t="n">
        <x:f>MAX(L50-J50,0)</x:f>
        <x:v>0</x:v>
      </x:c>
      <x:c r="N50" s="42" t="n">
        <x:f>F50+G50-1</x:f>
        <x:v>-1</x:v>
      </x:c>
      <x:c r="O50" s="41" t="n">
        <x:f>MAX(N50-C50,0)</x:f>
        <x:v>0</x:v>
      </x:c>
      <x:c r="P50" s="41" t="n">
        <x:f>D50+O50</x:f>
        <x:v>0</x:v>
      </x:c>
      <x:c r="Q50" s="42" t="n">
        <x:f>MAX(C50,N50+1)</x:f>
        <x:v>0</x:v>
      </x:c>
      <x:c r="R50" s="41" t="n">
        <x:f>D50+(H50-C50)</x:f>
        <x:v>0</x:v>
      </x:c>
      <x:c r="S50" s="41" t="n">
        <x:f>K50</x:f>
        <x:v>0</x:v>
      </x:c>
      <x:c r="T50" s="40" t="str">
        <x:f>IFERROR(R50/S50,"")</x:f>
      </x:c>
      <x:c r="U50" s="41" t="n">
        <x:f>IF(T50&lt;0.8,0,1)</x:f>
        <x:v>0</x:v>
      </x:c>
      <x:c r="V50" s="42" t="str">
        <x:f>IF(U50=0,"",Q50+M50)</x:f>
      </x:c>
      <x:c r="W50" s="42" t="str">
        <x:f>IF(U50=0,"",MIN(V50,H50))</x:f>
      </x:c>
      <x:c r="X50" s="41" t="n">
        <x:f>IF(U50=0,0,W50-C50)</x:f>
        <x:v>0</x:v>
      </x:c>
      <x:c r="Y50" s="43" t="str">
        <x:f>IF(U50=0,"Non-Recoverable",IF(V50&gt;H50,"Safe through EOY","Unrecov in "&amp;X50&amp;"d ("&amp;TEXT(W50,"mm/dd")&amp;")"))</x:f>
        <x:v>Non-Recoverable</x:v>
      </x:c>
    </x:row>
    <x:row r="51">
      <x:c r="A51" s="34"/>
      <x:c r="B51" s="34"/>
      <x:c r="C51" s="35"/>
      <x:c r="D51" s="36"/>
      <x:c r="E51" s="36"/>
      <x:c r="F51" s="35"/>
      <x:c r="G51" s="36"/>
      <x:c r="H51" s="35"/>
      <x:c r="I51" s="40" t="str">
        <x:f>IFERROR(D51/E51,"")</x:f>
      </x:c>
      <x:c r="J51" s="41" t="n">
        <x:f>E51-D51</x:f>
        <x:v>0</x:v>
      </x:c>
      <x:c r="K51" s="41" t="n">
        <x:f>E51+(H51-C51)</x:f>
        <x:v>0</x:v>
      </x:c>
      <x:c r="L51" s="41" t="n">
        <x:f>FLOOR(K51*0.2,1)</x:f>
        <x:v>0</x:v>
      </x:c>
      <x:c r="M51" s="41" t="n">
        <x:f>MAX(L51-J51,0)</x:f>
        <x:v>0</x:v>
      </x:c>
      <x:c r="N51" s="42" t="n">
        <x:f>F51+G51-1</x:f>
        <x:v>-1</x:v>
      </x:c>
      <x:c r="O51" s="41" t="n">
        <x:f>MAX(N51-C51,0)</x:f>
        <x:v>0</x:v>
      </x:c>
      <x:c r="P51" s="41" t="n">
        <x:f>D51+O51</x:f>
        <x:v>0</x:v>
      </x:c>
      <x:c r="Q51" s="42" t="n">
        <x:f>MAX(C51,N51+1)</x:f>
        <x:v>0</x:v>
      </x:c>
      <x:c r="R51" s="41" t="n">
        <x:f>D51+(H51-C51)</x:f>
        <x:v>0</x:v>
      </x:c>
      <x:c r="S51" s="41" t="n">
        <x:f>K51</x:f>
        <x:v>0</x:v>
      </x:c>
      <x:c r="T51" s="40" t="str">
        <x:f>IFERROR(R51/S51,"")</x:f>
      </x:c>
      <x:c r="U51" s="41" t="n">
        <x:f>IF(T51&lt;0.8,0,1)</x:f>
        <x:v>0</x:v>
      </x:c>
      <x:c r="V51" s="42" t="str">
        <x:f>IF(U51=0,"",Q51+M51)</x:f>
      </x:c>
      <x:c r="W51" s="42" t="str">
        <x:f>IF(U51=0,"",MIN(V51,H51))</x:f>
      </x:c>
      <x:c r="X51" s="41" t="n">
        <x:f>IF(U51=0,0,W51-C51)</x:f>
        <x:v>0</x:v>
      </x:c>
      <x:c r="Y51" s="43" t="str">
        <x:f>IF(U51=0,"Non-Recoverable",IF(V51&gt;H51,"Safe through EOY","Unrecov in "&amp;X51&amp;"d ("&amp;TEXT(W51,"mm/dd")&amp;")"))</x:f>
        <x:v>Non-Recoverable</x:v>
      </x:c>
    </x:row>
    <x:row r="52">
      <x:c r="A52" s="34"/>
      <x:c r="B52" s="34"/>
      <x:c r="C52" s="35"/>
      <x:c r="D52" s="36"/>
      <x:c r="E52" s="36"/>
      <x:c r="F52" s="35"/>
      <x:c r="G52" s="36"/>
      <x:c r="H52" s="35"/>
      <x:c r="I52" s="40" t="str">
        <x:f>IFERROR(D52/E52,"")</x:f>
      </x:c>
      <x:c r="J52" s="41" t="n">
        <x:f>E52-D52</x:f>
        <x:v>0</x:v>
      </x:c>
      <x:c r="K52" s="41" t="n">
        <x:f>E52+(H52-C52)</x:f>
        <x:v>0</x:v>
      </x:c>
      <x:c r="L52" s="41" t="n">
        <x:f>FLOOR(K52*0.2,1)</x:f>
        <x:v>0</x:v>
      </x:c>
      <x:c r="M52" s="41" t="n">
        <x:f>MAX(L52-J52,0)</x:f>
        <x:v>0</x:v>
      </x:c>
      <x:c r="N52" s="42" t="n">
        <x:f>F52+G52-1</x:f>
        <x:v>-1</x:v>
      </x:c>
      <x:c r="O52" s="41" t="n">
        <x:f>MAX(N52-C52,0)</x:f>
        <x:v>0</x:v>
      </x:c>
      <x:c r="P52" s="41" t="n">
        <x:f>D52+O52</x:f>
        <x:v>0</x:v>
      </x:c>
      <x:c r="Q52" s="42" t="n">
        <x:f>MAX(C52,N52+1)</x:f>
        <x:v>0</x:v>
      </x:c>
      <x:c r="R52" s="41" t="n">
        <x:f>D52+(H52-C52)</x:f>
        <x:v>0</x:v>
      </x:c>
      <x:c r="S52" s="41" t="n">
        <x:f>K52</x:f>
        <x:v>0</x:v>
      </x:c>
      <x:c r="T52" s="40" t="str">
        <x:f>IFERROR(R52/S52,"")</x:f>
      </x:c>
      <x:c r="U52" s="41" t="n">
        <x:f>IF(T52&lt;0.8,0,1)</x:f>
        <x:v>0</x:v>
      </x:c>
      <x:c r="V52" s="42" t="str">
        <x:f>IF(U52=0,"",Q52+M52)</x:f>
      </x:c>
      <x:c r="W52" s="42" t="str">
        <x:f>IF(U52=0,"",MIN(V52,H52))</x:f>
      </x:c>
      <x:c r="X52" s="41" t="n">
        <x:f>IF(U52=0,0,W52-C52)</x:f>
        <x:v>0</x:v>
      </x:c>
      <x:c r="Y52" s="43" t="str">
        <x:f>IF(U52=0,"Non-Recoverable",IF(V52&gt;H52,"Safe through EOY","Unrecov in "&amp;X52&amp;"d ("&amp;TEXT(W52,"mm/dd")&amp;")"))</x:f>
        <x:v>Non-Recoverable</x:v>
      </x:c>
    </x:row>
    <x:row r="53">
      <x:c r="A53" s="34"/>
      <x:c r="B53" s="34"/>
      <x:c r="C53" s="35"/>
      <x:c r="D53" s="36"/>
      <x:c r="E53" s="36"/>
      <x:c r="F53" s="35"/>
      <x:c r="G53" s="36"/>
      <x:c r="H53" s="35"/>
      <x:c r="I53" s="40" t="str">
        <x:f>IFERROR(D53/E53,"")</x:f>
      </x:c>
      <x:c r="J53" s="41" t="n">
        <x:f>E53-D53</x:f>
        <x:v>0</x:v>
      </x:c>
      <x:c r="K53" s="41" t="n">
        <x:f>E53+(H53-C53)</x:f>
        <x:v>0</x:v>
      </x:c>
      <x:c r="L53" s="41" t="n">
        <x:f>FLOOR(K53*0.2,1)</x:f>
        <x:v>0</x:v>
      </x:c>
      <x:c r="M53" s="41" t="n">
        <x:f>MAX(L53-J53,0)</x:f>
        <x:v>0</x:v>
      </x:c>
      <x:c r="N53" s="42" t="n">
        <x:f>F53+G53-1</x:f>
        <x:v>-1</x:v>
      </x:c>
      <x:c r="O53" s="41" t="n">
        <x:f>MAX(N53-C53,0)</x:f>
        <x:v>0</x:v>
      </x:c>
      <x:c r="P53" s="41" t="n">
        <x:f>D53+O53</x:f>
        <x:v>0</x:v>
      </x:c>
      <x:c r="Q53" s="42" t="n">
        <x:f>MAX(C53,N53+1)</x:f>
        <x:v>0</x:v>
      </x:c>
      <x:c r="R53" s="41" t="n">
        <x:f>D53+(H53-C53)</x:f>
        <x:v>0</x:v>
      </x:c>
      <x:c r="S53" s="41" t="n">
        <x:f>K53</x:f>
        <x:v>0</x:v>
      </x:c>
      <x:c r="T53" s="40" t="str">
        <x:f>IFERROR(R53/S53,"")</x:f>
      </x:c>
      <x:c r="U53" s="41" t="n">
        <x:f>IF(T53&lt;0.8,0,1)</x:f>
        <x:v>0</x:v>
      </x:c>
      <x:c r="V53" s="42" t="str">
        <x:f>IF(U53=0,"",Q53+M53)</x:f>
      </x:c>
      <x:c r="W53" s="42" t="str">
        <x:f>IF(U53=0,"",MIN(V53,H53))</x:f>
      </x:c>
      <x:c r="X53" s="41" t="n">
        <x:f>IF(U53=0,0,W53-C53)</x:f>
        <x:v>0</x:v>
      </x:c>
      <x:c r="Y53" s="43" t="str">
        <x:f>IF(U53=0,"Non-Recoverable",IF(V53&gt;H53,"Safe through EOY","Unrecov in "&amp;X53&amp;"d ("&amp;TEXT(W53,"mm/dd")&amp;")"))</x:f>
        <x:v>Non-Recoverable</x:v>
      </x:c>
    </x:row>
    <x:row r="54">
      <x:c r="A54" s="34"/>
      <x:c r="B54" s="34"/>
      <x:c r="C54" s="35"/>
      <x:c r="D54" s="36"/>
      <x:c r="E54" s="36"/>
      <x:c r="F54" s="35"/>
      <x:c r="G54" s="36"/>
      <x:c r="H54" s="35"/>
      <x:c r="I54" s="40" t="str">
        <x:f>IFERROR(D54/E54,"")</x:f>
      </x:c>
      <x:c r="J54" s="41" t="n">
        <x:f>E54-D54</x:f>
        <x:v>0</x:v>
      </x:c>
      <x:c r="K54" s="41" t="n">
        <x:f>E54+(H54-C54)</x:f>
        <x:v>0</x:v>
      </x:c>
      <x:c r="L54" s="41" t="n">
        <x:f>FLOOR(K54*0.2,1)</x:f>
        <x:v>0</x:v>
      </x:c>
      <x:c r="M54" s="41" t="n">
        <x:f>MAX(L54-J54,0)</x:f>
        <x:v>0</x:v>
      </x:c>
      <x:c r="N54" s="42" t="n">
        <x:f>F54+G54-1</x:f>
        <x:v>-1</x:v>
      </x:c>
      <x:c r="O54" s="41" t="n">
        <x:f>MAX(N54-C54,0)</x:f>
        <x:v>0</x:v>
      </x:c>
      <x:c r="P54" s="41" t="n">
        <x:f>D54+O54</x:f>
        <x:v>0</x:v>
      </x:c>
      <x:c r="Q54" s="42" t="n">
        <x:f>MAX(C54,N54+1)</x:f>
        <x:v>0</x:v>
      </x:c>
      <x:c r="R54" s="41" t="n">
        <x:f>D54+(H54-C54)</x:f>
        <x:v>0</x:v>
      </x:c>
      <x:c r="S54" s="41" t="n">
        <x:f>K54</x:f>
        <x:v>0</x:v>
      </x:c>
      <x:c r="T54" s="40" t="str">
        <x:f>IFERROR(R54/S54,"")</x:f>
      </x:c>
      <x:c r="U54" s="41" t="n">
        <x:f>IF(T54&lt;0.8,0,1)</x:f>
        <x:v>0</x:v>
      </x:c>
      <x:c r="V54" s="42" t="str">
        <x:f>IF(U54=0,"",Q54+M54)</x:f>
      </x:c>
      <x:c r="W54" s="42" t="str">
        <x:f>IF(U54=0,"",MIN(V54,H54))</x:f>
      </x:c>
      <x:c r="X54" s="41" t="n">
        <x:f>IF(U54=0,0,W54-C54)</x:f>
        <x:v>0</x:v>
      </x:c>
      <x:c r="Y54" s="43" t="str">
        <x:f>IF(U54=0,"Non-Recoverable",IF(V54&gt;H54,"Safe through EOY","Unrecov in "&amp;X54&amp;"d ("&amp;TEXT(W54,"mm/dd")&amp;")"))</x:f>
        <x:v>Non-Recoverable</x:v>
      </x:c>
    </x:row>
    <x:row r="55">
      <x:c r="A55" s="34"/>
      <x:c r="B55" s="34"/>
      <x:c r="C55" s="35"/>
      <x:c r="D55" s="36"/>
      <x:c r="E55" s="36"/>
      <x:c r="F55" s="35"/>
      <x:c r="G55" s="36"/>
      <x:c r="H55" s="35"/>
      <x:c r="I55" s="40" t="str">
        <x:f>IFERROR(D55/E55,"")</x:f>
      </x:c>
      <x:c r="J55" s="41" t="n">
        <x:f>E55-D55</x:f>
        <x:v>0</x:v>
      </x:c>
      <x:c r="K55" s="41" t="n">
        <x:f>E55+(H55-C55)</x:f>
        <x:v>0</x:v>
      </x:c>
      <x:c r="L55" s="41" t="n">
        <x:f>FLOOR(K55*0.2,1)</x:f>
        <x:v>0</x:v>
      </x:c>
      <x:c r="M55" s="41" t="n">
        <x:f>MAX(L55-J55,0)</x:f>
        <x:v>0</x:v>
      </x:c>
      <x:c r="N55" s="42" t="n">
        <x:f>F55+G55-1</x:f>
        <x:v>-1</x:v>
      </x:c>
      <x:c r="O55" s="41" t="n">
        <x:f>MAX(N55-C55,0)</x:f>
        <x:v>0</x:v>
      </x:c>
      <x:c r="P55" s="41" t="n">
        <x:f>D55+O55</x:f>
        <x:v>0</x:v>
      </x:c>
      <x:c r="Q55" s="42" t="n">
        <x:f>MAX(C55,N55+1)</x:f>
        <x:v>0</x:v>
      </x:c>
      <x:c r="R55" s="41" t="n">
        <x:f>D55+(H55-C55)</x:f>
        <x:v>0</x:v>
      </x:c>
      <x:c r="S55" s="41" t="n">
        <x:f>K55</x:f>
        <x:v>0</x:v>
      </x:c>
      <x:c r="T55" s="40" t="str">
        <x:f>IFERROR(R55/S55,"")</x:f>
      </x:c>
      <x:c r="U55" s="41" t="n">
        <x:f>IF(T55&lt;0.8,0,1)</x:f>
        <x:v>0</x:v>
      </x:c>
      <x:c r="V55" s="42" t="str">
        <x:f>IF(U55=0,"",Q55+M55)</x:f>
      </x:c>
      <x:c r="W55" s="42" t="str">
        <x:f>IF(U55=0,"",MIN(V55,H55))</x:f>
      </x:c>
      <x:c r="X55" s="41" t="n">
        <x:f>IF(U55=0,0,W55-C55)</x:f>
        <x:v>0</x:v>
      </x:c>
      <x:c r="Y55" s="43" t="str">
        <x:f>IF(U55=0,"Non-Recoverable",IF(V55&gt;H55,"Safe through EOY","Unrecov in "&amp;X55&amp;"d ("&amp;TEXT(W55,"mm/dd")&amp;")"))</x:f>
        <x:v>Non-Recoverable</x:v>
      </x:c>
    </x:row>
    <x:row r="56">
      <x:c r="A56" s="34"/>
      <x:c r="B56" s="34"/>
      <x:c r="C56" s="35"/>
      <x:c r="D56" s="36"/>
      <x:c r="E56" s="36"/>
      <x:c r="F56" s="35"/>
      <x:c r="G56" s="36"/>
      <x:c r="H56" s="35"/>
      <x:c r="I56" s="40" t="str">
        <x:f>IFERROR(D56/E56,"")</x:f>
      </x:c>
      <x:c r="J56" s="41" t="n">
        <x:f>E56-D56</x:f>
        <x:v>0</x:v>
      </x:c>
      <x:c r="K56" s="41" t="n">
        <x:f>E56+(H56-C56)</x:f>
        <x:v>0</x:v>
      </x:c>
      <x:c r="L56" s="41" t="n">
        <x:f>FLOOR(K56*0.2,1)</x:f>
        <x:v>0</x:v>
      </x:c>
      <x:c r="M56" s="41" t="n">
        <x:f>MAX(L56-J56,0)</x:f>
        <x:v>0</x:v>
      </x:c>
      <x:c r="N56" s="42" t="n">
        <x:f>F56+G56-1</x:f>
        <x:v>-1</x:v>
      </x:c>
      <x:c r="O56" s="41" t="n">
        <x:f>MAX(N56-C56,0)</x:f>
        <x:v>0</x:v>
      </x:c>
      <x:c r="P56" s="41" t="n">
        <x:f>D56+O56</x:f>
        <x:v>0</x:v>
      </x:c>
      <x:c r="Q56" s="42" t="n">
        <x:f>MAX(C56,N56+1)</x:f>
        <x:v>0</x:v>
      </x:c>
      <x:c r="R56" s="41" t="n">
        <x:f>D56+(H56-C56)</x:f>
        <x:v>0</x:v>
      </x:c>
      <x:c r="S56" s="41" t="n">
        <x:f>K56</x:f>
        <x:v>0</x:v>
      </x:c>
      <x:c r="T56" s="40" t="str">
        <x:f>IFERROR(R56/S56,"")</x:f>
      </x:c>
      <x:c r="U56" s="41" t="n">
        <x:f>IF(T56&lt;0.8,0,1)</x:f>
        <x:v>0</x:v>
      </x:c>
      <x:c r="V56" s="42" t="str">
        <x:f>IF(U56=0,"",Q56+M56)</x:f>
      </x:c>
      <x:c r="W56" s="42" t="str">
        <x:f>IF(U56=0,"",MIN(V56,H56))</x:f>
      </x:c>
      <x:c r="X56" s="41" t="n">
        <x:f>IF(U56=0,0,W56-C56)</x:f>
        <x:v>0</x:v>
      </x:c>
      <x:c r="Y56" s="43" t="str">
        <x:f>IF(U56=0,"Non-Recoverable",IF(V56&gt;H56,"Safe through EOY","Unrecov in "&amp;X56&amp;"d ("&amp;TEXT(W56,"mm/dd")&amp;")"))</x:f>
        <x:v>Non-Recoverable</x:v>
      </x:c>
    </x:row>
    <x:row r="57">
      <x:c r="A57" s="34"/>
      <x:c r="B57" s="34"/>
      <x:c r="C57" s="35"/>
      <x:c r="D57" s="36"/>
      <x:c r="E57" s="36"/>
      <x:c r="F57" s="35"/>
      <x:c r="G57" s="36"/>
      <x:c r="H57" s="35"/>
      <x:c r="I57" s="40" t="str">
        <x:f>IFERROR(D57/E57,"")</x:f>
      </x:c>
      <x:c r="J57" s="41" t="n">
        <x:f>E57-D57</x:f>
        <x:v>0</x:v>
      </x:c>
      <x:c r="K57" s="41" t="n">
        <x:f>E57+(H57-C57)</x:f>
        <x:v>0</x:v>
      </x:c>
      <x:c r="L57" s="41" t="n">
        <x:f>FLOOR(K57*0.2,1)</x:f>
        <x:v>0</x:v>
      </x:c>
      <x:c r="M57" s="41" t="n">
        <x:f>MAX(L57-J57,0)</x:f>
        <x:v>0</x:v>
      </x:c>
      <x:c r="N57" s="42" t="n">
        <x:f>F57+G57-1</x:f>
        <x:v>-1</x:v>
      </x:c>
      <x:c r="O57" s="41" t="n">
        <x:f>MAX(N57-C57,0)</x:f>
        <x:v>0</x:v>
      </x:c>
      <x:c r="P57" s="41" t="n">
        <x:f>D57+O57</x:f>
        <x:v>0</x:v>
      </x:c>
      <x:c r="Q57" s="42" t="n">
        <x:f>MAX(C57,N57+1)</x:f>
        <x:v>0</x:v>
      </x:c>
      <x:c r="R57" s="41" t="n">
        <x:f>D57+(H57-C57)</x:f>
        <x:v>0</x:v>
      </x:c>
      <x:c r="S57" s="41" t="n">
        <x:f>K57</x:f>
        <x:v>0</x:v>
      </x:c>
      <x:c r="T57" s="40" t="str">
        <x:f>IFERROR(R57/S57,"")</x:f>
      </x:c>
      <x:c r="U57" s="41" t="n">
        <x:f>IF(T57&lt;0.8,0,1)</x:f>
        <x:v>0</x:v>
      </x:c>
      <x:c r="V57" s="42" t="str">
        <x:f>IF(U57=0,"",Q57+M57)</x:f>
      </x:c>
      <x:c r="W57" s="42" t="str">
        <x:f>IF(U57=0,"",MIN(V57,H57))</x:f>
      </x:c>
      <x:c r="X57" s="41" t="n">
        <x:f>IF(U57=0,0,W57-C57)</x:f>
        <x:v>0</x:v>
      </x:c>
      <x:c r="Y57" s="43" t="str">
        <x:f>IF(U57=0,"Non-Recoverable",IF(V57&gt;H57,"Safe through EOY","Unrecov in "&amp;X57&amp;"d ("&amp;TEXT(W57,"mm/dd")&amp;")"))</x:f>
        <x:v>Non-Recoverable</x:v>
      </x:c>
    </x:row>
    <x:row r="58">
      <x:c r="A58" s="34"/>
      <x:c r="B58" s="34"/>
      <x:c r="C58" s="35"/>
      <x:c r="D58" s="36"/>
      <x:c r="E58" s="36"/>
      <x:c r="F58" s="35"/>
      <x:c r="G58" s="36"/>
      <x:c r="H58" s="35"/>
      <x:c r="I58" s="40" t="str">
        <x:f>IFERROR(D58/E58,"")</x:f>
      </x:c>
      <x:c r="J58" s="41" t="n">
        <x:f>E58-D58</x:f>
        <x:v>0</x:v>
      </x:c>
      <x:c r="K58" s="41" t="n">
        <x:f>E58+(H58-C58)</x:f>
        <x:v>0</x:v>
      </x:c>
      <x:c r="L58" s="41" t="n">
        <x:f>FLOOR(K58*0.2,1)</x:f>
        <x:v>0</x:v>
      </x:c>
      <x:c r="M58" s="41" t="n">
        <x:f>MAX(L58-J58,0)</x:f>
        <x:v>0</x:v>
      </x:c>
      <x:c r="N58" s="42" t="n">
        <x:f>F58+G58-1</x:f>
        <x:v>-1</x:v>
      </x:c>
      <x:c r="O58" s="41" t="n">
        <x:f>MAX(N58-C58,0)</x:f>
        <x:v>0</x:v>
      </x:c>
      <x:c r="P58" s="41" t="n">
        <x:f>D58+O58</x:f>
        <x:v>0</x:v>
      </x:c>
      <x:c r="Q58" s="42" t="n">
        <x:f>MAX(C58,N58+1)</x:f>
        <x:v>0</x:v>
      </x:c>
      <x:c r="R58" s="41" t="n">
        <x:f>D58+(H58-C58)</x:f>
        <x:v>0</x:v>
      </x:c>
      <x:c r="S58" s="41" t="n">
        <x:f>K58</x:f>
        <x:v>0</x:v>
      </x:c>
      <x:c r="T58" s="40" t="str">
        <x:f>IFERROR(R58/S58,"")</x:f>
      </x:c>
      <x:c r="U58" s="41" t="n">
        <x:f>IF(T58&lt;0.8,0,1)</x:f>
        <x:v>0</x:v>
      </x:c>
      <x:c r="V58" s="42" t="str">
        <x:f>IF(U58=0,"",Q58+M58)</x:f>
      </x:c>
      <x:c r="W58" s="42" t="str">
        <x:f>IF(U58=0,"",MIN(V58,H58))</x:f>
      </x:c>
      <x:c r="X58" s="41" t="n">
        <x:f>IF(U58=0,0,W58-C58)</x:f>
        <x:v>0</x:v>
      </x:c>
      <x:c r="Y58" s="43" t="str">
        <x:f>IF(U58=0,"Non-Recoverable",IF(V58&gt;H58,"Safe through EOY","Unrecov in "&amp;X58&amp;"d ("&amp;TEXT(W58,"mm/dd")&amp;")"))</x:f>
        <x:v>Non-Recoverable</x:v>
      </x:c>
    </x:row>
    <x:row r="59">
      <x:c r="A59" s="34"/>
      <x:c r="B59" s="34"/>
      <x:c r="C59" s="35"/>
      <x:c r="D59" s="36"/>
      <x:c r="E59" s="36"/>
      <x:c r="F59" s="35"/>
      <x:c r="G59" s="36"/>
      <x:c r="H59" s="35"/>
      <x:c r="I59" s="40" t="str">
        <x:f>IFERROR(D59/E59,"")</x:f>
      </x:c>
      <x:c r="J59" s="41" t="n">
        <x:f>E59-D59</x:f>
        <x:v>0</x:v>
      </x:c>
      <x:c r="K59" s="41" t="n">
        <x:f>E59+(H59-C59)</x:f>
        <x:v>0</x:v>
      </x:c>
      <x:c r="L59" s="41" t="n">
        <x:f>FLOOR(K59*0.2,1)</x:f>
        <x:v>0</x:v>
      </x:c>
      <x:c r="M59" s="41" t="n">
        <x:f>MAX(L59-J59,0)</x:f>
        <x:v>0</x:v>
      </x:c>
      <x:c r="N59" s="42" t="n">
        <x:f>F59+G59-1</x:f>
        <x:v>-1</x:v>
      </x:c>
      <x:c r="O59" s="41" t="n">
        <x:f>MAX(N59-C59,0)</x:f>
        <x:v>0</x:v>
      </x:c>
      <x:c r="P59" s="41" t="n">
        <x:f>D59+O59</x:f>
        <x:v>0</x:v>
      </x:c>
      <x:c r="Q59" s="42" t="n">
        <x:f>MAX(C59,N59+1)</x:f>
        <x:v>0</x:v>
      </x:c>
      <x:c r="R59" s="41" t="n">
        <x:f>D59+(H59-C59)</x:f>
        <x:v>0</x:v>
      </x:c>
      <x:c r="S59" s="41" t="n">
        <x:f>K59</x:f>
        <x:v>0</x:v>
      </x:c>
      <x:c r="T59" s="40" t="str">
        <x:f>IFERROR(R59/S59,"")</x:f>
      </x:c>
      <x:c r="U59" s="41" t="n">
        <x:f>IF(T59&lt;0.8,0,1)</x:f>
        <x:v>0</x:v>
      </x:c>
      <x:c r="V59" s="42" t="str">
        <x:f>IF(U59=0,"",Q59+M59)</x:f>
      </x:c>
      <x:c r="W59" s="42" t="str">
        <x:f>IF(U59=0,"",MIN(V59,H59))</x:f>
      </x:c>
      <x:c r="X59" s="41" t="n">
        <x:f>IF(U59=0,0,W59-C59)</x:f>
        <x:v>0</x:v>
      </x:c>
      <x:c r="Y59" s="43" t="str">
        <x:f>IF(U59=0,"Non-Recoverable",IF(V59&gt;H59,"Safe through EOY","Unrecov in "&amp;X59&amp;"d ("&amp;TEXT(W59,"mm/dd")&amp;")"))</x:f>
        <x:v>Non-Recoverable</x:v>
      </x:c>
    </x:row>
    <x:row r="60">
      <x:c r="A60" s="34"/>
      <x:c r="B60" s="34"/>
      <x:c r="C60" s="35"/>
      <x:c r="D60" s="36"/>
      <x:c r="E60" s="36"/>
      <x:c r="F60" s="35"/>
      <x:c r="G60" s="36"/>
      <x:c r="H60" s="35"/>
      <x:c r="I60" s="40" t="str">
        <x:f>IFERROR(D60/E60,"")</x:f>
      </x:c>
      <x:c r="J60" s="41" t="n">
        <x:f>E60-D60</x:f>
        <x:v>0</x:v>
      </x:c>
      <x:c r="K60" s="41" t="n">
        <x:f>E60+(H60-C60)</x:f>
        <x:v>0</x:v>
      </x:c>
      <x:c r="L60" s="41" t="n">
        <x:f>FLOOR(K60*0.2,1)</x:f>
        <x:v>0</x:v>
      </x:c>
      <x:c r="M60" s="41" t="n">
        <x:f>MAX(L60-J60,0)</x:f>
        <x:v>0</x:v>
      </x:c>
      <x:c r="N60" s="42" t="n">
        <x:f>F60+G60-1</x:f>
        <x:v>-1</x:v>
      </x:c>
      <x:c r="O60" s="41" t="n">
        <x:f>MAX(N60-C60,0)</x:f>
        <x:v>0</x:v>
      </x:c>
      <x:c r="P60" s="41" t="n">
        <x:f>D60+O60</x:f>
        <x:v>0</x:v>
      </x:c>
      <x:c r="Q60" s="42" t="n">
        <x:f>MAX(C60,N60+1)</x:f>
        <x:v>0</x:v>
      </x:c>
      <x:c r="R60" s="41" t="n">
        <x:f>D60+(H60-C60)</x:f>
        <x:v>0</x:v>
      </x:c>
      <x:c r="S60" s="41" t="n">
        <x:f>K60</x:f>
        <x:v>0</x:v>
      </x:c>
      <x:c r="T60" s="40" t="str">
        <x:f>IFERROR(R60/S60,"")</x:f>
      </x:c>
      <x:c r="U60" s="41" t="n">
        <x:f>IF(T60&lt;0.8,0,1)</x:f>
        <x:v>0</x:v>
      </x:c>
      <x:c r="V60" s="42" t="str">
        <x:f>IF(U60=0,"",Q60+M60)</x:f>
      </x:c>
      <x:c r="W60" s="42" t="str">
        <x:f>IF(U60=0,"",MIN(V60,H60))</x:f>
      </x:c>
      <x:c r="X60" s="41" t="n">
        <x:f>IF(U60=0,0,W60-C60)</x:f>
        <x:v>0</x:v>
      </x:c>
      <x:c r="Y60" s="43" t="str">
        <x:f>IF(U60=0,"Non-Recoverable",IF(V60&gt;H60,"Safe through EOY","Unrecov in "&amp;X60&amp;"d ("&amp;TEXT(W60,"mm/dd")&amp;")"))</x:f>
        <x:v>Non-Recoverable</x:v>
      </x:c>
    </x:row>
    <x:row r="61">
      <x:c r="A61" s="34"/>
      <x:c r="B61" s="34"/>
      <x:c r="C61" s="35"/>
      <x:c r="D61" s="36"/>
      <x:c r="E61" s="36"/>
      <x:c r="F61" s="35"/>
      <x:c r="G61" s="36"/>
      <x:c r="H61" s="35"/>
      <x:c r="I61" s="40" t="str">
        <x:f>IFERROR(D61/E61,"")</x:f>
      </x:c>
      <x:c r="J61" s="41" t="n">
        <x:f>E61-D61</x:f>
        <x:v>0</x:v>
      </x:c>
      <x:c r="K61" s="41" t="n">
        <x:f>E61+(H61-C61)</x:f>
        <x:v>0</x:v>
      </x:c>
      <x:c r="L61" s="41" t="n">
        <x:f>FLOOR(K61*0.2,1)</x:f>
        <x:v>0</x:v>
      </x:c>
      <x:c r="M61" s="41" t="n">
        <x:f>MAX(L61-J61,0)</x:f>
        <x:v>0</x:v>
      </x:c>
      <x:c r="N61" s="42" t="n">
        <x:f>F61+G61-1</x:f>
        <x:v>-1</x:v>
      </x:c>
      <x:c r="O61" s="41" t="n">
        <x:f>MAX(N61-C61,0)</x:f>
        <x:v>0</x:v>
      </x:c>
      <x:c r="P61" s="41" t="n">
        <x:f>D61+O61</x:f>
        <x:v>0</x:v>
      </x:c>
      <x:c r="Q61" s="42" t="n">
        <x:f>MAX(C61,N61+1)</x:f>
        <x:v>0</x:v>
      </x:c>
      <x:c r="R61" s="41" t="n">
        <x:f>D61+(H61-C61)</x:f>
        <x:v>0</x:v>
      </x:c>
      <x:c r="S61" s="41" t="n">
        <x:f>K61</x:f>
        <x:v>0</x:v>
      </x:c>
      <x:c r="T61" s="40" t="str">
        <x:f>IFERROR(R61/S61,"")</x:f>
      </x:c>
      <x:c r="U61" s="41" t="n">
        <x:f>IF(T61&lt;0.8,0,1)</x:f>
        <x:v>0</x:v>
      </x:c>
      <x:c r="V61" s="42" t="str">
        <x:f>IF(U61=0,"",Q61+M61)</x:f>
      </x:c>
      <x:c r="W61" s="42" t="str">
        <x:f>IF(U61=0,"",MIN(V61,H61))</x:f>
      </x:c>
      <x:c r="X61" s="41" t="n">
        <x:f>IF(U61=0,0,W61-C61)</x:f>
        <x:v>0</x:v>
      </x:c>
      <x:c r="Y61" s="43" t="str">
        <x:f>IF(U61=0,"Non-Recoverable",IF(V61&gt;H61,"Safe through EOY","Unrecov in "&amp;X61&amp;"d ("&amp;TEXT(W61,"mm/dd")&amp;")"))</x:f>
        <x:v>Non-Recoverable</x:v>
      </x:c>
    </x:row>
    <x:row r="62">
      <x:c r="A62" s="34"/>
      <x:c r="B62" s="34"/>
      <x:c r="C62" s="35"/>
      <x:c r="D62" s="36"/>
      <x:c r="E62" s="36"/>
      <x:c r="F62" s="35"/>
      <x:c r="G62" s="36"/>
      <x:c r="H62" s="35"/>
      <x:c r="I62" s="40" t="str">
        <x:f>IFERROR(D62/E62,"")</x:f>
      </x:c>
      <x:c r="J62" s="41" t="n">
        <x:f>E62-D62</x:f>
        <x:v>0</x:v>
      </x:c>
      <x:c r="K62" s="41" t="n">
        <x:f>E62+(H62-C62)</x:f>
        <x:v>0</x:v>
      </x:c>
      <x:c r="L62" s="41" t="n">
        <x:f>FLOOR(K62*0.2,1)</x:f>
        <x:v>0</x:v>
      </x:c>
      <x:c r="M62" s="41" t="n">
        <x:f>MAX(L62-J62,0)</x:f>
        <x:v>0</x:v>
      </x:c>
      <x:c r="N62" s="42" t="n">
        <x:f>F62+G62-1</x:f>
        <x:v>-1</x:v>
      </x:c>
      <x:c r="O62" s="41" t="n">
        <x:f>MAX(N62-C62,0)</x:f>
        <x:v>0</x:v>
      </x:c>
      <x:c r="P62" s="41" t="n">
        <x:f>D62+O62</x:f>
        <x:v>0</x:v>
      </x:c>
      <x:c r="Q62" s="42" t="n">
        <x:f>MAX(C62,N62+1)</x:f>
        <x:v>0</x:v>
      </x:c>
      <x:c r="R62" s="41" t="n">
        <x:f>D62+(H62-C62)</x:f>
        <x:v>0</x:v>
      </x:c>
      <x:c r="S62" s="41" t="n">
        <x:f>K62</x:f>
        <x:v>0</x:v>
      </x:c>
      <x:c r="T62" s="40" t="str">
        <x:f>IFERROR(R62/S62,"")</x:f>
      </x:c>
      <x:c r="U62" s="41" t="n">
        <x:f>IF(T62&lt;0.8,0,1)</x:f>
        <x:v>0</x:v>
      </x:c>
      <x:c r="V62" s="42" t="str">
        <x:f>IF(U62=0,"",Q62+M62)</x:f>
      </x:c>
      <x:c r="W62" s="42" t="str">
        <x:f>IF(U62=0,"",MIN(V62,H62))</x:f>
      </x:c>
      <x:c r="X62" s="41" t="n">
        <x:f>IF(U62=0,0,W62-C62)</x:f>
        <x:v>0</x:v>
      </x:c>
      <x:c r="Y62" s="43" t="str">
        <x:f>IF(U62=0,"Non-Recoverable",IF(V62&gt;H62,"Safe through EOY","Unrecov in "&amp;X62&amp;"d ("&amp;TEXT(W62,"mm/dd")&amp;")"))</x:f>
        <x:v>Non-Recoverable</x:v>
      </x:c>
    </x:row>
    <x:row r="63">
      <x:c r="A63" s="34"/>
      <x:c r="B63" s="34"/>
      <x:c r="C63" s="35"/>
      <x:c r="D63" s="36"/>
      <x:c r="E63" s="36"/>
      <x:c r="F63" s="35"/>
      <x:c r="G63" s="36"/>
      <x:c r="H63" s="35"/>
      <x:c r="I63" s="40" t="str">
        <x:f>IFERROR(D63/E63,"")</x:f>
      </x:c>
      <x:c r="J63" s="41" t="n">
        <x:f>E63-D63</x:f>
        <x:v>0</x:v>
      </x:c>
      <x:c r="K63" s="41" t="n">
        <x:f>E63+(H63-C63)</x:f>
        <x:v>0</x:v>
      </x:c>
      <x:c r="L63" s="41" t="n">
        <x:f>FLOOR(K63*0.2,1)</x:f>
        <x:v>0</x:v>
      </x:c>
      <x:c r="M63" s="41" t="n">
        <x:f>MAX(L63-J63,0)</x:f>
        <x:v>0</x:v>
      </x:c>
      <x:c r="N63" s="42" t="n">
        <x:f>F63+G63-1</x:f>
        <x:v>-1</x:v>
      </x:c>
      <x:c r="O63" s="41" t="n">
        <x:f>MAX(N63-C63,0)</x:f>
        <x:v>0</x:v>
      </x:c>
      <x:c r="P63" s="41" t="n">
        <x:f>D63+O63</x:f>
        <x:v>0</x:v>
      </x:c>
      <x:c r="Q63" s="42" t="n">
        <x:f>MAX(C63,N63+1)</x:f>
        <x:v>0</x:v>
      </x:c>
      <x:c r="R63" s="41" t="n">
        <x:f>D63+(H63-C63)</x:f>
        <x:v>0</x:v>
      </x:c>
      <x:c r="S63" s="41" t="n">
        <x:f>K63</x:f>
        <x:v>0</x:v>
      </x:c>
      <x:c r="T63" s="40" t="str">
        <x:f>IFERROR(R63/S63,"")</x:f>
      </x:c>
      <x:c r="U63" s="41" t="n">
        <x:f>IF(T63&lt;0.8,0,1)</x:f>
        <x:v>0</x:v>
      </x:c>
      <x:c r="V63" s="42" t="str">
        <x:f>IF(U63=0,"",Q63+M63)</x:f>
      </x:c>
      <x:c r="W63" s="42" t="str">
        <x:f>IF(U63=0,"",MIN(V63,H63))</x:f>
      </x:c>
      <x:c r="X63" s="41" t="n">
        <x:f>IF(U63=0,0,W63-C63)</x:f>
        <x:v>0</x:v>
      </x:c>
      <x:c r="Y63" s="43" t="str">
        <x:f>IF(U63=0,"Non-Recoverable",IF(V63&gt;H63,"Safe through EOY","Unrecov in "&amp;X63&amp;"d ("&amp;TEXT(W63,"mm/dd")&amp;")"))</x:f>
        <x:v>Non-Recoverable</x:v>
      </x:c>
    </x:row>
    <x:row r="64">
      <x:c r="A64" s="34"/>
      <x:c r="B64" s="34"/>
      <x:c r="C64" s="35"/>
      <x:c r="D64" s="36"/>
      <x:c r="E64" s="36"/>
      <x:c r="F64" s="35"/>
      <x:c r="G64" s="36"/>
      <x:c r="H64" s="35"/>
      <x:c r="I64" s="40" t="str">
        <x:f>IFERROR(D64/E64,"")</x:f>
      </x:c>
      <x:c r="J64" s="41" t="n">
        <x:f>E64-D64</x:f>
        <x:v>0</x:v>
      </x:c>
      <x:c r="K64" s="41" t="n">
        <x:f>E64+(H64-C64)</x:f>
        <x:v>0</x:v>
      </x:c>
      <x:c r="L64" s="41" t="n">
        <x:f>FLOOR(K64*0.2,1)</x:f>
        <x:v>0</x:v>
      </x:c>
      <x:c r="M64" s="41" t="n">
        <x:f>MAX(L64-J64,0)</x:f>
        <x:v>0</x:v>
      </x:c>
      <x:c r="N64" s="42" t="n">
        <x:f>F64+G64-1</x:f>
        <x:v>-1</x:v>
      </x:c>
      <x:c r="O64" s="41" t="n">
        <x:f>MAX(N64-C64,0)</x:f>
        <x:v>0</x:v>
      </x:c>
      <x:c r="P64" s="41" t="n">
        <x:f>D64+O64</x:f>
        <x:v>0</x:v>
      </x:c>
      <x:c r="Q64" s="42" t="n">
        <x:f>MAX(C64,N64+1)</x:f>
        <x:v>0</x:v>
      </x:c>
      <x:c r="R64" s="41" t="n">
        <x:f>D64+(H64-C64)</x:f>
        <x:v>0</x:v>
      </x:c>
      <x:c r="S64" s="41" t="n">
        <x:f>K64</x:f>
        <x:v>0</x:v>
      </x:c>
      <x:c r="T64" s="40" t="str">
        <x:f>IFERROR(R64/S64,"")</x:f>
      </x:c>
      <x:c r="U64" s="41" t="n">
        <x:f>IF(T64&lt;0.8,0,1)</x:f>
        <x:v>0</x:v>
      </x:c>
      <x:c r="V64" s="42" t="str">
        <x:f>IF(U64=0,"",Q64+M64)</x:f>
      </x:c>
      <x:c r="W64" s="42" t="str">
        <x:f>IF(U64=0,"",MIN(V64,H64))</x:f>
      </x:c>
      <x:c r="X64" s="41" t="n">
        <x:f>IF(U64=0,0,W64-C64)</x:f>
        <x:v>0</x:v>
      </x:c>
      <x:c r="Y64" s="43" t="str">
        <x:f>IF(U64=0,"Non-Recoverable",IF(V64&gt;H64,"Safe through EOY","Unrecov in "&amp;X64&amp;"d ("&amp;TEXT(W64,"mm/dd")&amp;")"))</x:f>
        <x:v>Non-Recoverable</x:v>
      </x:c>
    </x:row>
    <x:row r="65">
      <x:c r="A65" s="34"/>
      <x:c r="B65" s="34"/>
      <x:c r="C65" s="35"/>
      <x:c r="D65" s="36"/>
      <x:c r="E65" s="36"/>
      <x:c r="F65" s="35"/>
      <x:c r="G65" s="36"/>
      <x:c r="H65" s="35"/>
      <x:c r="I65" s="40" t="str">
        <x:f>IFERROR(D65/E65,"")</x:f>
      </x:c>
      <x:c r="J65" s="41" t="n">
        <x:f>E65-D65</x:f>
        <x:v>0</x:v>
      </x:c>
      <x:c r="K65" s="41" t="n">
        <x:f>E65+(H65-C65)</x:f>
        <x:v>0</x:v>
      </x:c>
      <x:c r="L65" s="41" t="n">
        <x:f>FLOOR(K65*0.2,1)</x:f>
        <x:v>0</x:v>
      </x:c>
      <x:c r="M65" s="41" t="n">
        <x:f>MAX(L65-J65,0)</x:f>
        <x:v>0</x:v>
      </x:c>
      <x:c r="N65" s="42" t="n">
        <x:f>F65+G65-1</x:f>
        <x:v>-1</x:v>
      </x:c>
      <x:c r="O65" s="41" t="n">
        <x:f>MAX(N65-C65,0)</x:f>
        <x:v>0</x:v>
      </x:c>
      <x:c r="P65" s="41" t="n">
        <x:f>D65+O65</x:f>
        <x:v>0</x:v>
      </x:c>
      <x:c r="Q65" s="42" t="n">
        <x:f>MAX(C65,N65+1)</x:f>
        <x:v>0</x:v>
      </x:c>
      <x:c r="R65" s="41" t="n">
        <x:f>D65+(H65-C65)</x:f>
        <x:v>0</x:v>
      </x:c>
      <x:c r="S65" s="41" t="n">
        <x:f>K65</x:f>
        <x:v>0</x:v>
      </x:c>
      <x:c r="T65" s="40" t="str">
        <x:f>IFERROR(R65/S65,"")</x:f>
      </x:c>
      <x:c r="U65" s="41" t="n">
        <x:f>IF(T65&lt;0.8,0,1)</x:f>
        <x:v>0</x:v>
      </x:c>
      <x:c r="V65" s="42" t="str">
        <x:f>IF(U65=0,"",Q65+M65)</x:f>
      </x:c>
      <x:c r="W65" s="42" t="str">
        <x:f>IF(U65=0,"",MIN(V65,H65))</x:f>
      </x:c>
      <x:c r="X65" s="41" t="n">
        <x:f>IF(U65=0,0,W65-C65)</x:f>
        <x:v>0</x:v>
      </x:c>
      <x:c r="Y65" s="43" t="str">
        <x:f>IF(U65=0,"Non-Recoverable",IF(V65&gt;H65,"Safe through EOY","Unrecov in "&amp;X65&amp;"d ("&amp;TEXT(W65,"mm/dd")&amp;")"))</x:f>
        <x:v>Non-Recoverable</x:v>
      </x:c>
    </x:row>
    <x:row r="66">
      <x:c r="A66" s="34"/>
      <x:c r="B66" s="34"/>
      <x:c r="C66" s="35"/>
      <x:c r="D66" s="36"/>
      <x:c r="E66" s="36"/>
      <x:c r="F66" s="35"/>
      <x:c r="G66" s="36"/>
      <x:c r="H66" s="35"/>
      <x:c r="I66" s="40" t="str">
        <x:f>IFERROR(D66/E66,"")</x:f>
      </x:c>
      <x:c r="J66" s="41" t="n">
        <x:f>E66-D66</x:f>
        <x:v>0</x:v>
      </x:c>
      <x:c r="K66" s="41" t="n">
        <x:f>E66+(H66-C66)</x:f>
        <x:v>0</x:v>
      </x:c>
      <x:c r="L66" s="41" t="n">
        <x:f>FLOOR(K66*0.2,1)</x:f>
        <x:v>0</x:v>
      </x:c>
      <x:c r="M66" s="41" t="n">
        <x:f>MAX(L66-J66,0)</x:f>
        <x:v>0</x:v>
      </x:c>
      <x:c r="N66" s="42" t="n">
        <x:f>F66+G66-1</x:f>
        <x:v>-1</x:v>
      </x:c>
      <x:c r="O66" s="41" t="n">
        <x:f>MAX(N66-C66,0)</x:f>
        <x:v>0</x:v>
      </x:c>
      <x:c r="P66" s="41" t="n">
        <x:f>D66+O66</x:f>
        <x:v>0</x:v>
      </x:c>
      <x:c r="Q66" s="42" t="n">
        <x:f>MAX(C66,N66+1)</x:f>
        <x:v>0</x:v>
      </x:c>
      <x:c r="R66" s="41" t="n">
        <x:f>D66+(H66-C66)</x:f>
        <x:v>0</x:v>
      </x:c>
      <x:c r="S66" s="41" t="n">
        <x:f>K66</x:f>
        <x:v>0</x:v>
      </x:c>
      <x:c r="T66" s="40" t="str">
        <x:f>IFERROR(R66/S66,"")</x:f>
      </x:c>
      <x:c r="U66" s="41" t="n">
        <x:f>IF(T66&lt;0.8,0,1)</x:f>
        <x:v>0</x:v>
      </x:c>
      <x:c r="V66" s="42" t="str">
        <x:f>IF(U66=0,"",Q66+M66)</x:f>
      </x:c>
      <x:c r="W66" s="42" t="str">
        <x:f>IF(U66=0,"",MIN(V66,H66))</x:f>
      </x:c>
      <x:c r="X66" s="41" t="n">
        <x:f>IF(U66=0,0,W66-C66)</x:f>
        <x:v>0</x:v>
      </x:c>
      <x:c r="Y66" s="43" t="str">
        <x:f>IF(U66=0,"Non-Recoverable",IF(V66&gt;H66,"Safe through EOY","Unrecov in "&amp;X66&amp;"d ("&amp;TEXT(W66,"mm/dd")&amp;")"))</x:f>
        <x:v>Non-Recoverable</x:v>
      </x:c>
    </x:row>
    <x:row r="67">
      <x:c r="A67" s="34"/>
      <x:c r="B67" s="34"/>
      <x:c r="C67" s="35"/>
      <x:c r="D67" s="36"/>
      <x:c r="E67" s="36"/>
      <x:c r="F67" s="35"/>
      <x:c r="G67" s="36"/>
      <x:c r="H67" s="35"/>
      <x:c r="I67" s="40" t="str">
        <x:f>IFERROR(D67/E67,"")</x:f>
      </x:c>
      <x:c r="J67" s="41" t="n">
        <x:f>E67-D67</x:f>
        <x:v>0</x:v>
      </x:c>
      <x:c r="K67" s="41" t="n">
        <x:f>E67+(H67-C67)</x:f>
        <x:v>0</x:v>
      </x:c>
      <x:c r="L67" s="41" t="n">
        <x:f>FLOOR(K67*0.2,1)</x:f>
        <x:v>0</x:v>
      </x:c>
      <x:c r="M67" s="41" t="n">
        <x:f>MAX(L67-J67,0)</x:f>
        <x:v>0</x:v>
      </x:c>
      <x:c r="N67" s="42" t="n">
        <x:f>F67+G67-1</x:f>
        <x:v>-1</x:v>
      </x:c>
      <x:c r="O67" s="41" t="n">
        <x:f>MAX(N67-C67,0)</x:f>
        <x:v>0</x:v>
      </x:c>
      <x:c r="P67" s="41" t="n">
        <x:f>D67+O67</x:f>
        <x:v>0</x:v>
      </x:c>
      <x:c r="Q67" s="42" t="n">
        <x:f>MAX(C67,N67+1)</x:f>
        <x:v>0</x:v>
      </x:c>
      <x:c r="R67" s="41" t="n">
        <x:f>D67+(H67-C67)</x:f>
        <x:v>0</x:v>
      </x:c>
      <x:c r="S67" s="41" t="n">
        <x:f>K67</x:f>
        <x:v>0</x:v>
      </x:c>
      <x:c r="T67" s="40" t="str">
        <x:f>IFERROR(R67/S67,"")</x:f>
      </x:c>
      <x:c r="U67" s="41" t="n">
        <x:f>IF(T67&lt;0.8,0,1)</x:f>
        <x:v>0</x:v>
      </x:c>
      <x:c r="V67" s="42" t="str">
        <x:f>IF(U67=0,"",Q67+M67)</x:f>
      </x:c>
      <x:c r="W67" s="42" t="str">
        <x:f>IF(U67=0,"",MIN(V67,H67))</x:f>
      </x:c>
      <x:c r="X67" s="41" t="n">
        <x:f>IF(U67=0,0,W67-C67)</x:f>
        <x:v>0</x:v>
      </x:c>
      <x:c r="Y67" s="43" t="str">
        <x:f>IF(U67=0,"Non-Recoverable",IF(V67&gt;H67,"Safe through EOY","Unrecov in "&amp;X67&amp;"d ("&amp;TEXT(W67,"mm/dd")&amp;")"))</x:f>
        <x:v>Non-Recoverable</x:v>
      </x:c>
    </x:row>
    <x:row r="68">
      <x:c r="A68" s="34"/>
      <x:c r="B68" s="34"/>
      <x:c r="C68" s="35"/>
      <x:c r="D68" s="36"/>
      <x:c r="E68" s="36"/>
      <x:c r="F68" s="35"/>
      <x:c r="G68" s="36"/>
      <x:c r="H68" s="35"/>
      <x:c r="I68" s="40" t="str">
        <x:f>IFERROR(D68/E68,"")</x:f>
      </x:c>
      <x:c r="J68" s="41" t="n">
        <x:f>E68-D68</x:f>
        <x:v>0</x:v>
      </x:c>
      <x:c r="K68" s="41" t="n">
        <x:f>E68+(H68-C68)</x:f>
        <x:v>0</x:v>
      </x:c>
      <x:c r="L68" s="41" t="n">
        <x:f>FLOOR(K68*0.2,1)</x:f>
        <x:v>0</x:v>
      </x:c>
      <x:c r="M68" s="41" t="n">
        <x:f>MAX(L68-J68,0)</x:f>
        <x:v>0</x:v>
      </x:c>
      <x:c r="N68" s="42" t="n">
        <x:f>F68+G68-1</x:f>
        <x:v>-1</x:v>
      </x:c>
      <x:c r="O68" s="41" t="n">
        <x:f>MAX(N68-C68,0)</x:f>
        <x:v>0</x:v>
      </x:c>
      <x:c r="P68" s="41" t="n">
        <x:f>D68+O68</x:f>
        <x:v>0</x:v>
      </x:c>
      <x:c r="Q68" s="42" t="n">
        <x:f>MAX(C68,N68+1)</x:f>
        <x:v>0</x:v>
      </x:c>
      <x:c r="R68" s="41" t="n">
        <x:f>D68+(H68-C68)</x:f>
        <x:v>0</x:v>
      </x:c>
      <x:c r="S68" s="41" t="n">
        <x:f>K68</x:f>
        <x:v>0</x:v>
      </x:c>
      <x:c r="T68" s="40" t="str">
        <x:f>IFERROR(R68/S68,"")</x:f>
      </x:c>
      <x:c r="U68" s="41" t="n">
        <x:f>IF(T68&lt;0.8,0,1)</x:f>
        <x:v>0</x:v>
      </x:c>
      <x:c r="V68" s="42" t="str">
        <x:f>IF(U68=0,"",Q68+M68)</x:f>
      </x:c>
      <x:c r="W68" s="42" t="str">
        <x:f>IF(U68=0,"",MIN(V68,H68))</x:f>
      </x:c>
      <x:c r="X68" s="41" t="n">
        <x:f>IF(U68=0,0,W68-C68)</x:f>
        <x:v>0</x:v>
      </x:c>
      <x:c r="Y68" s="43" t="str">
        <x:f>IF(U68=0,"Non-Recoverable",IF(V68&gt;H68,"Safe through EOY","Unrecov in "&amp;X68&amp;"d ("&amp;TEXT(W68,"mm/dd")&amp;")"))</x:f>
        <x:v>Non-Recoverable</x:v>
      </x:c>
    </x:row>
    <x:row r="69">
      <x:c r="A69" s="34"/>
      <x:c r="B69" s="34"/>
      <x:c r="C69" s="35"/>
      <x:c r="D69" s="36"/>
      <x:c r="E69" s="36"/>
      <x:c r="F69" s="35"/>
      <x:c r="G69" s="36"/>
      <x:c r="H69" s="35"/>
      <x:c r="I69" s="40" t="str">
        <x:f>IFERROR(D69/E69,"")</x:f>
      </x:c>
      <x:c r="J69" s="41" t="n">
        <x:f>E69-D69</x:f>
        <x:v>0</x:v>
      </x:c>
      <x:c r="K69" s="41" t="n">
        <x:f>E69+(H69-C69)</x:f>
        <x:v>0</x:v>
      </x:c>
      <x:c r="L69" s="41" t="n">
        <x:f>FLOOR(K69*0.2,1)</x:f>
        <x:v>0</x:v>
      </x:c>
      <x:c r="M69" s="41" t="n">
        <x:f>MAX(L69-J69,0)</x:f>
        <x:v>0</x:v>
      </x:c>
      <x:c r="N69" s="42" t="n">
        <x:f>F69+G69-1</x:f>
        <x:v>-1</x:v>
      </x:c>
      <x:c r="O69" s="41" t="n">
        <x:f>MAX(N69-C69,0)</x:f>
        <x:v>0</x:v>
      </x:c>
      <x:c r="P69" s="41" t="n">
        <x:f>D69+O69</x:f>
        <x:v>0</x:v>
      </x:c>
      <x:c r="Q69" s="42" t="n">
        <x:f>MAX(C69,N69+1)</x:f>
        <x:v>0</x:v>
      </x:c>
      <x:c r="R69" s="41" t="n">
        <x:f>D69+(H69-C69)</x:f>
        <x:v>0</x:v>
      </x:c>
      <x:c r="S69" s="41" t="n">
        <x:f>K69</x:f>
        <x:v>0</x:v>
      </x:c>
      <x:c r="T69" s="40" t="str">
        <x:f>IFERROR(R69/S69,"")</x:f>
      </x:c>
      <x:c r="U69" s="41" t="n">
        <x:f>IF(T69&lt;0.8,0,1)</x:f>
        <x:v>0</x:v>
      </x:c>
      <x:c r="V69" s="42" t="str">
        <x:f>IF(U69=0,"",Q69+M69)</x:f>
      </x:c>
      <x:c r="W69" s="42" t="str">
        <x:f>IF(U69=0,"",MIN(V69,H69))</x:f>
      </x:c>
      <x:c r="X69" s="41" t="n">
        <x:f>IF(U69=0,0,W69-C69)</x:f>
        <x:v>0</x:v>
      </x:c>
      <x:c r="Y69" s="43" t="str">
        <x:f>IF(U69=0,"Non-Recoverable",IF(V69&gt;H69,"Safe through EOY","Unrecov in "&amp;X69&amp;"d ("&amp;TEXT(W69,"mm/dd")&amp;")"))</x:f>
        <x:v>Non-Recoverable</x:v>
      </x:c>
    </x:row>
    <x:row r="70">
      <x:c r="A70" s="34"/>
      <x:c r="B70" s="34"/>
      <x:c r="C70" s="35"/>
      <x:c r="D70" s="36"/>
      <x:c r="E70" s="36"/>
      <x:c r="F70" s="35"/>
      <x:c r="G70" s="36"/>
      <x:c r="H70" s="35"/>
      <x:c r="I70" s="40" t="str">
        <x:f>IFERROR(D70/E70,"")</x:f>
      </x:c>
      <x:c r="J70" s="41" t="n">
        <x:f>E70-D70</x:f>
        <x:v>0</x:v>
      </x:c>
      <x:c r="K70" s="41" t="n">
        <x:f>E70+(H70-C70)</x:f>
        <x:v>0</x:v>
      </x:c>
      <x:c r="L70" s="41" t="n">
        <x:f>FLOOR(K70*0.2,1)</x:f>
        <x:v>0</x:v>
      </x:c>
      <x:c r="M70" s="41" t="n">
        <x:f>MAX(L70-J70,0)</x:f>
        <x:v>0</x:v>
      </x:c>
      <x:c r="N70" s="42" t="n">
        <x:f>F70+G70-1</x:f>
        <x:v>-1</x:v>
      </x:c>
      <x:c r="O70" s="41" t="n">
        <x:f>MAX(N70-C70,0)</x:f>
        <x:v>0</x:v>
      </x:c>
      <x:c r="P70" s="41" t="n">
        <x:f>D70+O70</x:f>
        <x:v>0</x:v>
      </x:c>
      <x:c r="Q70" s="42" t="n">
        <x:f>MAX(C70,N70+1)</x:f>
        <x:v>0</x:v>
      </x:c>
      <x:c r="R70" s="41" t="n">
        <x:f>D70+(H70-C70)</x:f>
        <x:v>0</x:v>
      </x:c>
      <x:c r="S70" s="41" t="n">
        <x:f>K70</x:f>
        <x:v>0</x:v>
      </x:c>
      <x:c r="T70" s="40" t="str">
        <x:f>IFERROR(R70/S70,"")</x:f>
      </x:c>
      <x:c r="U70" s="41" t="n">
        <x:f>IF(T70&lt;0.8,0,1)</x:f>
        <x:v>0</x:v>
      </x:c>
      <x:c r="V70" s="42" t="str">
        <x:f>IF(U70=0,"",Q70+M70)</x:f>
      </x:c>
      <x:c r="W70" s="42" t="str">
        <x:f>IF(U70=0,"",MIN(V70,H70))</x:f>
      </x:c>
      <x:c r="X70" s="41" t="n">
        <x:f>IF(U70=0,0,W70-C70)</x:f>
        <x:v>0</x:v>
      </x:c>
      <x:c r="Y70" s="43" t="str">
        <x:f>IF(U70=0,"Non-Recoverable",IF(V70&gt;H70,"Safe through EOY","Unrecov in "&amp;X70&amp;"d ("&amp;TEXT(W70,"mm/dd")&amp;")"))</x:f>
        <x:v>Non-Recoverable</x:v>
      </x:c>
    </x:row>
    <x:row r="71">
      <x:c r="A71" s="34"/>
      <x:c r="B71" s="34"/>
      <x:c r="C71" s="35"/>
      <x:c r="D71" s="36"/>
      <x:c r="E71" s="36"/>
      <x:c r="F71" s="35"/>
      <x:c r="G71" s="36"/>
      <x:c r="H71" s="35"/>
      <x:c r="I71" s="40" t="str">
        <x:f>IFERROR(D71/E71,"")</x:f>
      </x:c>
      <x:c r="J71" s="41" t="n">
        <x:f>E71-D71</x:f>
        <x:v>0</x:v>
      </x:c>
      <x:c r="K71" s="41" t="n">
        <x:f>E71+(H71-C71)</x:f>
        <x:v>0</x:v>
      </x:c>
      <x:c r="L71" s="41" t="n">
        <x:f>FLOOR(K71*0.2,1)</x:f>
        <x:v>0</x:v>
      </x:c>
      <x:c r="M71" s="41" t="n">
        <x:f>MAX(L71-J71,0)</x:f>
        <x:v>0</x:v>
      </x:c>
      <x:c r="N71" s="42" t="n">
        <x:f>F71+G71-1</x:f>
        <x:v>-1</x:v>
      </x:c>
      <x:c r="O71" s="41" t="n">
        <x:f>MAX(N71-C71,0)</x:f>
        <x:v>0</x:v>
      </x:c>
      <x:c r="P71" s="41" t="n">
        <x:f>D71+O71</x:f>
        <x:v>0</x:v>
      </x:c>
      <x:c r="Q71" s="42" t="n">
        <x:f>MAX(C71,N71+1)</x:f>
        <x:v>0</x:v>
      </x:c>
      <x:c r="R71" s="41" t="n">
        <x:f>D71+(H71-C71)</x:f>
        <x:v>0</x:v>
      </x:c>
      <x:c r="S71" s="41" t="n">
        <x:f>K71</x:f>
        <x:v>0</x:v>
      </x:c>
      <x:c r="T71" s="40" t="str">
        <x:f>IFERROR(R71/S71,"")</x:f>
      </x:c>
      <x:c r="U71" s="41" t="n">
        <x:f>IF(T71&lt;0.8,0,1)</x:f>
        <x:v>0</x:v>
      </x:c>
      <x:c r="V71" s="42" t="str">
        <x:f>IF(U71=0,"",Q71+M71)</x:f>
      </x:c>
      <x:c r="W71" s="42" t="str">
        <x:f>IF(U71=0,"",MIN(V71,H71))</x:f>
      </x:c>
      <x:c r="X71" s="41" t="n">
        <x:f>IF(U71=0,0,W71-C71)</x:f>
        <x:v>0</x:v>
      </x:c>
      <x:c r="Y71" s="43" t="str">
        <x:f>IF(U71=0,"Non-Recoverable",IF(V71&gt;H71,"Safe through EOY","Unrecov in "&amp;X71&amp;"d ("&amp;TEXT(W71,"mm/dd")&amp;")"))</x:f>
        <x:v>Non-Recoverable</x:v>
      </x:c>
    </x:row>
    <x:row r="72">
      <x:c r="A72" s="34"/>
      <x:c r="B72" s="34"/>
      <x:c r="C72" s="35"/>
      <x:c r="D72" s="36"/>
      <x:c r="E72" s="36"/>
      <x:c r="F72" s="35"/>
      <x:c r="G72" s="36"/>
      <x:c r="H72" s="35"/>
      <x:c r="I72" s="40" t="str">
        <x:f>IFERROR(D72/E72,"")</x:f>
      </x:c>
      <x:c r="J72" s="41" t="n">
        <x:f>E72-D72</x:f>
        <x:v>0</x:v>
      </x:c>
      <x:c r="K72" s="41" t="n">
        <x:f>E72+(H72-C72)</x:f>
        <x:v>0</x:v>
      </x:c>
      <x:c r="L72" s="41" t="n">
        <x:f>FLOOR(K72*0.2,1)</x:f>
        <x:v>0</x:v>
      </x:c>
      <x:c r="M72" s="41" t="n">
        <x:f>MAX(L72-J72,0)</x:f>
        <x:v>0</x:v>
      </x:c>
      <x:c r="N72" s="42" t="n">
        <x:f>F72+G72-1</x:f>
        <x:v>-1</x:v>
      </x:c>
      <x:c r="O72" s="41" t="n">
        <x:f>MAX(N72-C72,0)</x:f>
        <x:v>0</x:v>
      </x:c>
      <x:c r="P72" s="41" t="n">
        <x:f>D72+O72</x:f>
        <x:v>0</x:v>
      </x:c>
      <x:c r="Q72" s="42" t="n">
        <x:f>MAX(C72,N72+1)</x:f>
        <x:v>0</x:v>
      </x:c>
      <x:c r="R72" s="41" t="n">
        <x:f>D72+(H72-C72)</x:f>
        <x:v>0</x:v>
      </x:c>
      <x:c r="S72" s="41" t="n">
        <x:f>K72</x:f>
        <x:v>0</x:v>
      </x:c>
      <x:c r="T72" s="40" t="str">
        <x:f>IFERROR(R72/S72,"")</x:f>
      </x:c>
      <x:c r="U72" s="41" t="n">
        <x:f>IF(T72&lt;0.8,0,1)</x:f>
        <x:v>0</x:v>
      </x:c>
      <x:c r="V72" s="42" t="str">
        <x:f>IF(U72=0,"",Q72+M72)</x:f>
      </x:c>
      <x:c r="W72" s="42" t="str">
        <x:f>IF(U72=0,"",MIN(V72,H72))</x:f>
      </x:c>
      <x:c r="X72" s="41" t="n">
        <x:f>IF(U72=0,0,W72-C72)</x:f>
        <x:v>0</x:v>
      </x:c>
      <x:c r="Y72" s="43" t="str">
        <x:f>IF(U72=0,"Non-Recoverable",IF(V72&gt;H72,"Safe through EOY","Unrecov in "&amp;X72&amp;"d ("&amp;TEXT(W72,"mm/dd")&amp;")"))</x:f>
        <x:v>Non-Recoverable</x:v>
      </x:c>
    </x:row>
    <x:row r="73">
      <x:c r="A73" s="34"/>
      <x:c r="B73" s="34"/>
      <x:c r="C73" s="35"/>
      <x:c r="D73" s="36"/>
      <x:c r="E73" s="36"/>
      <x:c r="F73" s="35"/>
      <x:c r="G73" s="36"/>
      <x:c r="H73" s="35"/>
      <x:c r="I73" s="40" t="str">
        <x:f>IFERROR(D73/E73,"")</x:f>
      </x:c>
      <x:c r="J73" s="41" t="n">
        <x:f>E73-D73</x:f>
        <x:v>0</x:v>
      </x:c>
      <x:c r="K73" s="41" t="n">
        <x:f>E73+(H73-C73)</x:f>
        <x:v>0</x:v>
      </x:c>
      <x:c r="L73" s="41" t="n">
        <x:f>FLOOR(K73*0.2,1)</x:f>
        <x:v>0</x:v>
      </x:c>
      <x:c r="M73" s="41" t="n">
        <x:f>MAX(L73-J73,0)</x:f>
        <x:v>0</x:v>
      </x:c>
      <x:c r="N73" s="42" t="n">
        <x:f>F73+G73-1</x:f>
        <x:v>-1</x:v>
      </x:c>
      <x:c r="O73" s="41" t="n">
        <x:f>MAX(N73-C73,0)</x:f>
        <x:v>0</x:v>
      </x:c>
      <x:c r="P73" s="41" t="n">
        <x:f>D73+O73</x:f>
        <x:v>0</x:v>
      </x:c>
      <x:c r="Q73" s="42" t="n">
        <x:f>MAX(C73,N73+1)</x:f>
        <x:v>0</x:v>
      </x:c>
      <x:c r="R73" s="41" t="n">
        <x:f>D73+(H73-C73)</x:f>
        <x:v>0</x:v>
      </x:c>
      <x:c r="S73" s="41" t="n">
        <x:f>K73</x:f>
        <x:v>0</x:v>
      </x:c>
      <x:c r="T73" s="40" t="str">
        <x:f>IFERROR(R73/S73,"")</x:f>
      </x:c>
      <x:c r="U73" s="41" t="n">
        <x:f>IF(T73&lt;0.8,0,1)</x:f>
        <x:v>0</x:v>
      </x:c>
      <x:c r="V73" s="42" t="str">
        <x:f>IF(U73=0,"",Q73+M73)</x:f>
      </x:c>
      <x:c r="W73" s="42" t="str">
        <x:f>IF(U73=0,"",MIN(V73,H73))</x:f>
      </x:c>
      <x:c r="X73" s="41" t="n">
        <x:f>IF(U73=0,0,W73-C73)</x:f>
        <x:v>0</x:v>
      </x:c>
      <x:c r="Y73" s="43" t="str">
        <x:f>IF(U73=0,"Non-Recoverable",IF(V73&gt;H73,"Safe through EOY","Unrecov in "&amp;X73&amp;"d ("&amp;TEXT(W73,"mm/dd")&amp;")"))</x:f>
        <x:v>Non-Recoverable</x:v>
      </x:c>
    </x:row>
    <x:row r="74">
      <x:c r="A74" s="34"/>
      <x:c r="B74" s="34"/>
      <x:c r="C74" s="35"/>
      <x:c r="D74" s="36"/>
      <x:c r="E74" s="36"/>
      <x:c r="F74" s="35"/>
      <x:c r="G74" s="36"/>
      <x:c r="H74" s="35"/>
      <x:c r="I74" s="40" t="str">
        <x:f>IFERROR(D74/E74,"")</x:f>
      </x:c>
      <x:c r="J74" s="41" t="n">
        <x:f>E74-D74</x:f>
        <x:v>0</x:v>
      </x:c>
      <x:c r="K74" s="41" t="n">
        <x:f>E74+(H74-C74)</x:f>
        <x:v>0</x:v>
      </x:c>
      <x:c r="L74" s="41" t="n">
        <x:f>FLOOR(K74*0.2,1)</x:f>
        <x:v>0</x:v>
      </x:c>
      <x:c r="M74" s="41" t="n">
        <x:f>MAX(L74-J74,0)</x:f>
        <x:v>0</x:v>
      </x:c>
      <x:c r="N74" s="42" t="n">
        <x:f>F74+G74-1</x:f>
        <x:v>-1</x:v>
      </x:c>
      <x:c r="O74" s="41" t="n">
        <x:f>MAX(N74-C74,0)</x:f>
        <x:v>0</x:v>
      </x:c>
      <x:c r="P74" s="41" t="n">
        <x:f>D74+O74</x:f>
        <x:v>0</x:v>
      </x:c>
      <x:c r="Q74" s="42" t="n">
        <x:f>MAX(C74,N74+1)</x:f>
        <x:v>0</x:v>
      </x:c>
      <x:c r="R74" s="41" t="n">
        <x:f>D74+(H74-C74)</x:f>
        <x:v>0</x:v>
      </x:c>
      <x:c r="S74" s="41" t="n">
        <x:f>K74</x:f>
        <x:v>0</x:v>
      </x:c>
      <x:c r="T74" s="40" t="str">
        <x:f>IFERROR(R74/S74,"")</x:f>
      </x:c>
      <x:c r="U74" s="41" t="n">
        <x:f>IF(T74&lt;0.8,0,1)</x:f>
        <x:v>0</x:v>
      </x:c>
      <x:c r="V74" s="42" t="str">
        <x:f>IF(U74=0,"",Q74+M74)</x:f>
      </x:c>
      <x:c r="W74" s="42" t="str">
        <x:f>IF(U74=0,"",MIN(V74,H74))</x:f>
      </x:c>
      <x:c r="X74" s="41" t="n">
        <x:f>IF(U74=0,0,W74-C74)</x:f>
        <x:v>0</x:v>
      </x:c>
      <x:c r="Y74" s="43" t="str">
        <x:f>IF(U74=0,"Non-Recoverable",IF(V74&gt;H74,"Safe through EOY","Unrecov in "&amp;X74&amp;"d ("&amp;TEXT(W74,"mm/dd")&amp;")"))</x:f>
        <x:v>Non-Recoverable</x:v>
      </x:c>
    </x:row>
    <x:row r="75">
      <x:c r="A75" s="34"/>
      <x:c r="B75" s="34"/>
      <x:c r="C75" s="35"/>
      <x:c r="D75" s="36"/>
      <x:c r="E75" s="36"/>
      <x:c r="F75" s="35"/>
      <x:c r="G75" s="36"/>
      <x:c r="H75" s="35"/>
      <x:c r="I75" s="40" t="str">
        <x:f>IFERROR(D75/E75,"")</x:f>
      </x:c>
      <x:c r="J75" s="41" t="n">
        <x:f>E75-D75</x:f>
        <x:v>0</x:v>
      </x:c>
      <x:c r="K75" s="41" t="n">
        <x:f>E75+(H75-C75)</x:f>
        <x:v>0</x:v>
      </x:c>
      <x:c r="L75" s="41" t="n">
        <x:f>FLOOR(K75*0.2,1)</x:f>
        <x:v>0</x:v>
      </x:c>
      <x:c r="M75" s="41" t="n">
        <x:f>MAX(L75-J75,0)</x:f>
        <x:v>0</x:v>
      </x:c>
      <x:c r="N75" s="42" t="n">
        <x:f>F75+G75-1</x:f>
        <x:v>-1</x:v>
      </x:c>
      <x:c r="O75" s="41" t="n">
        <x:f>MAX(N75-C75,0)</x:f>
        <x:v>0</x:v>
      </x:c>
      <x:c r="P75" s="41" t="n">
        <x:f>D75+O75</x:f>
        <x:v>0</x:v>
      </x:c>
      <x:c r="Q75" s="42" t="n">
        <x:f>MAX(C75,N75+1)</x:f>
        <x:v>0</x:v>
      </x:c>
      <x:c r="R75" s="41" t="n">
        <x:f>D75+(H75-C75)</x:f>
        <x:v>0</x:v>
      </x:c>
      <x:c r="S75" s="41" t="n">
        <x:f>K75</x:f>
        <x:v>0</x:v>
      </x:c>
      <x:c r="T75" s="40" t="str">
        <x:f>IFERROR(R75/S75,"")</x:f>
      </x:c>
      <x:c r="U75" s="41" t="n">
        <x:f>IF(T75&lt;0.8,0,1)</x:f>
        <x:v>0</x:v>
      </x:c>
      <x:c r="V75" s="42" t="str">
        <x:f>IF(U75=0,"",Q75+M75)</x:f>
      </x:c>
      <x:c r="W75" s="42" t="str">
        <x:f>IF(U75=0,"",MIN(V75,H75))</x:f>
      </x:c>
      <x:c r="X75" s="41" t="n">
        <x:f>IF(U75=0,0,W75-C75)</x:f>
        <x:v>0</x:v>
      </x:c>
      <x:c r="Y75" s="43" t="str">
        <x:f>IF(U75=0,"Non-Recoverable",IF(V75&gt;H75,"Safe through EOY","Unrecov in "&amp;X75&amp;"d ("&amp;TEXT(W75,"mm/dd")&amp;")"))</x:f>
        <x:v>Non-Recoverable</x:v>
      </x:c>
    </x:row>
    <x:row r="76">
      <x:c r="A76" s="34"/>
      <x:c r="B76" s="34"/>
      <x:c r="C76" s="35"/>
      <x:c r="D76" s="36"/>
      <x:c r="E76" s="36"/>
      <x:c r="F76" s="35"/>
      <x:c r="G76" s="36"/>
      <x:c r="H76" s="35"/>
      <x:c r="I76" s="40" t="str">
        <x:f>IFERROR(D76/E76,"")</x:f>
      </x:c>
      <x:c r="J76" s="41" t="n">
        <x:f>E76-D76</x:f>
        <x:v>0</x:v>
      </x:c>
      <x:c r="K76" s="41" t="n">
        <x:f>E76+(H76-C76)</x:f>
        <x:v>0</x:v>
      </x:c>
      <x:c r="L76" s="41" t="n">
        <x:f>FLOOR(K76*0.2,1)</x:f>
        <x:v>0</x:v>
      </x:c>
      <x:c r="M76" s="41" t="n">
        <x:f>MAX(L76-J76,0)</x:f>
        <x:v>0</x:v>
      </x:c>
      <x:c r="N76" s="42" t="n">
        <x:f>F76+G76-1</x:f>
        <x:v>-1</x:v>
      </x:c>
      <x:c r="O76" s="41" t="n">
        <x:f>MAX(N76-C76,0)</x:f>
        <x:v>0</x:v>
      </x:c>
      <x:c r="P76" s="41" t="n">
        <x:f>D76+O76</x:f>
        <x:v>0</x:v>
      </x:c>
      <x:c r="Q76" s="42" t="n">
        <x:f>MAX(C76,N76+1)</x:f>
        <x:v>0</x:v>
      </x:c>
      <x:c r="R76" s="41" t="n">
        <x:f>D76+(H76-C76)</x:f>
        <x:v>0</x:v>
      </x:c>
      <x:c r="S76" s="41" t="n">
        <x:f>K76</x:f>
        <x:v>0</x:v>
      </x:c>
      <x:c r="T76" s="40" t="str">
        <x:f>IFERROR(R76/S76,"")</x:f>
      </x:c>
      <x:c r="U76" s="41" t="n">
        <x:f>IF(T76&lt;0.8,0,1)</x:f>
        <x:v>0</x:v>
      </x:c>
      <x:c r="V76" s="42" t="str">
        <x:f>IF(U76=0,"",Q76+M76)</x:f>
      </x:c>
      <x:c r="W76" s="42" t="str">
        <x:f>IF(U76=0,"",MIN(V76,H76))</x:f>
      </x:c>
      <x:c r="X76" s="41" t="n">
        <x:f>IF(U76=0,0,W76-C76)</x:f>
        <x:v>0</x:v>
      </x:c>
      <x:c r="Y76" s="43" t="str">
        <x:f>IF(U76=0,"Non-Recoverable",IF(V76&gt;H76,"Safe through EOY","Unrecov in "&amp;X76&amp;"d ("&amp;TEXT(W76,"mm/dd")&amp;")"))</x:f>
        <x:v>Non-Recoverable</x:v>
      </x:c>
    </x:row>
    <x:row r="77">
      <x:c r="A77" s="34"/>
      <x:c r="B77" s="34"/>
      <x:c r="C77" s="35"/>
      <x:c r="D77" s="36"/>
      <x:c r="E77" s="36"/>
      <x:c r="F77" s="35"/>
      <x:c r="G77" s="36"/>
      <x:c r="H77" s="35"/>
      <x:c r="I77" s="40" t="str">
        <x:f>IFERROR(D77/E77,"")</x:f>
      </x:c>
      <x:c r="J77" s="41" t="n">
        <x:f>E77-D77</x:f>
        <x:v>0</x:v>
      </x:c>
      <x:c r="K77" s="41" t="n">
        <x:f>E77+(H77-C77)</x:f>
        <x:v>0</x:v>
      </x:c>
      <x:c r="L77" s="41" t="n">
        <x:f>FLOOR(K77*0.2,1)</x:f>
        <x:v>0</x:v>
      </x:c>
      <x:c r="M77" s="41" t="n">
        <x:f>MAX(L77-J77,0)</x:f>
        <x:v>0</x:v>
      </x:c>
      <x:c r="N77" s="42" t="n">
        <x:f>F77+G77-1</x:f>
        <x:v>-1</x:v>
      </x:c>
      <x:c r="O77" s="41" t="n">
        <x:f>MAX(N77-C77,0)</x:f>
        <x:v>0</x:v>
      </x:c>
      <x:c r="P77" s="41" t="n">
        <x:f>D77+O77</x:f>
        <x:v>0</x:v>
      </x:c>
      <x:c r="Q77" s="42" t="n">
        <x:f>MAX(C77,N77+1)</x:f>
        <x:v>0</x:v>
      </x:c>
      <x:c r="R77" s="41" t="n">
        <x:f>D77+(H77-C77)</x:f>
        <x:v>0</x:v>
      </x:c>
      <x:c r="S77" s="41" t="n">
        <x:f>K77</x:f>
        <x:v>0</x:v>
      </x:c>
      <x:c r="T77" s="40" t="str">
        <x:f>IFERROR(R77/S77,"")</x:f>
      </x:c>
      <x:c r="U77" s="41" t="n">
        <x:f>IF(T77&lt;0.8,0,1)</x:f>
        <x:v>0</x:v>
      </x:c>
      <x:c r="V77" s="42" t="str">
        <x:f>IF(U77=0,"",Q77+M77)</x:f>
      </x:c>
      <x:c r="W77" s="42" t="str">
        <x:f>IF(U77=0,"",MIN(V77,H77))</x:f>
      </x:c>
      <x:c r="X77" s="41" t="n">
        <x:f>IF(U77=0,0,W77-C77)</x:f>
        <x:v>0</x:v>
      </x:c>
      <x:c r="Y77" s="43" t="str">
        <x:f>IF(U77=0,"Non-Recoverable",IF(V77&gt;H77,"Safe through EOY","Unrecov in "&amp;X77&amp;"d ("&amp;TEXT(W77,"mm/dd")&amp;")"))</x:f>
        <x:v>Non-Recoverable</x:v>
      </x:c>
    </x:row>
    <x:row r="78">
      <x:c r="A78" s="34"/>
      <x:c r="B78" s="34"/>
      <x:c r="C78" s="35"/>
      <x:c r="D78" s="36"/>
      <x:c r="E78" s="36"/>
      <x:c r="F78" s="35"/>
      <x:c r="G78" s="36"/>
      <x:c r="H78" s="35"/>
      <x:c r="I78" s="40" t="str">
        <x:f>IFERROR(D78/E78,"")</x:f>
      </x:c>
      <x:c r="J78" s="41" t="n">
        <x:f>E78-D78</x:f>
        <x:v>0</x:v>
      </x:c>
      <x:c r="K78" s="41" t="n">
        <x:f>E78+(H78-C78)</x:f>
        <x:v>0</x:v>
      </x:c>
      <x:c r="L78" s="41" t="n">
        <x:f>FLOOR(K78*0.2,1)</x:f>
        <x:v>0</x:v>
      </x:c>
      <x:c r="M78" s="41" t="n">
        <x:f>MAX(L78-J78,0)</x:f>
        <x:v>0</x:v>
      </x:c>
      <x:c r="N78" s="42" t="n">
        <x:f>F78+G78-1</x:f>
        <x:v>-1</x:v>
      </x:c>
      <x:c r="O78" s="41" t="n">
        <x:f>MAX(N78-C78,0)</x:f>
        <x:v>0</x:v>
      </x:c>
      <x:c r="P78" s="41" t="n">
        <x:f>D78+O78</x:f>
        <x:v>0</x:v>
      </x:c>
      <x:c r="Q78" s="42" t="n">
        <x:f>MAX(C78,N78+1)</x:f>
        <x:v>0</x:v>
      </x:c>
      <x:c r="R78" s="41" t="n">
        <x:f>D78+(H78-C78)</x:f>
        <x:v>0</x:v>
      </x:c>
      <x:c r="S78" s="41" t="n">
        <x:f>K78</x:f>
        <x:v>0</x:v>
      </x:c>
      <x:c r="T78" s="40" t="str">
        <x:f>IFERROR(R78/S78,"")</x:f>
      </x:c>
      <x:c r="U78" s="41" t="n">
        <x:f>IF(T78&lt;0.8,0,1)</x:f>
        <x:v>0</x:v>
      </x:c>
      <x:c r="V78" s="42" t="str">
        <x:f>IF(U78=0,"",Q78+M78)</x:f>
      </x:c>
      <x:c r="W78" s="42" t="str">
        <x:f>IF(U78=0,"",MIN(V78,H78))</x:f>
      </x:c>
      <x:c r="X78" s="41" t="n">
        <x:f>IF(U78=0,0,W78-C78)</x:f>
        <x:v>0</x:v>
      </x:c>
      <x:c r="Y78" s="43" t="str">
        <x:f>IF(U78=0,"Non-Recoverable",IF(V78&gt;H78,"Safe through EOY","Unrecov in "&amp;X78&amp;"d ("&amp;TEXT(W78,"mm/dd")&amp;")"))</x:f>
        <x:v>Non-Recoverable</x:v>
      </x:c>
    </x:row>
    <x:row r="79">
      <x:c r="A79" s="34"/>
      <x:c r="B79" s="34"/>
      <x:c r="C79" s="35"/>
      <x:c r="D79" s="36"/>
      <x:c r="E79" s="36"/>
      <x:c r="F79" s="35"/>
      <x:c r="G79" s="36"/>
      <x:c r="H79" s="35"/>
      <x:c r="I79" s="40" t="str">
        <x:f>IFERROR(D79/E79,"")</x:f>
      </x:c>
      <x:c r="J79" s="41" t="n">
        <x:f>E79-D79</x:f>
        <x:v>0</x:v>
      </x:c>
      <x:c r="K79" s="41" t="n">
        <x:f>E79+(H79-C79)</x:f>
        <x:v>0</x:v>
      </x:c>
      <x:c r="L79" s="41" t="n">
        <x:f>FLOOR(K79*0.2,1)</x:f>
        <x:v>0</x:v>
      </x:c>
      <x:c r="M79" s="41" t="n">
        <x:f>MAX(L79-J79,0)</x:f>
        <x:v>0</x:v>
      </x:c>
      <x:c r="N79" s="42" t="n">
        <x:f>F79+G79-1</x:f>
        <x:v>-1</x:v>
      </x:c>
      <x:c r="O79" s="41" t="n">
        <x:f>MAX(N79-C79,0)</x:f>
        <x:v>0</x:v>
      </x:c>
      <x:c r="P79" s="41" t="n">
        <x:f>D79+O79</x:f>
        <x:v>0</x:v>
      </x:c>
      <x:c r="Q79" s="42" t="n">
        <x:f>MAX(C79,N79+1)</x:f>
        <x:v>0</x:v>
      </x:c>
      <x:c r="R79" s="41" t="n">
        <x:f>D79+(H79-C79)</x:f>
        <x:v>0</x:v>
      </x:c>
      <x:c r="S79" s="41" t="n">
        <x:f>K79</x:f>
        <x:v>0</x:v>
      </x:c>
      <x:c r="T79" s="40" t="str">
        <x:f>IFERROR(R79/S79,"")</x:f>
      </x:c>
      <x:c r="U79" s="41" t="n">
        <x:f>IF(T79&lt;0.8,0,1)</x:f>
        <x:v>0</x:v>
      </x:c>
      <x:c r="V79" s="42" t="str">
        <x:f>IF(U79=0,"",Q79+M79)</x:f>
      </x:c>
      <x:c r="W79" s="42" t="str">
        <x:f>IF(U79=0,"",MIN(V79,H79))</x:f>
      </x:c>
      <x:c r="X79" s="41" t="n">
        <x:f>IF(U79=0,0,W79-C79)</x:f>
        <x:v>0</x:v>
      </x:c>
      <x:c r="Y79" s="43" t="str">
        <x:f>IF(U79=0,"Non-Recoverable",IF(V79&gt;H79,"Safe through EOY","Unrecov in "&amp;X79&amp;"d ("&amp;TEXT(W79,"mm/dd")&amp;")"))</x:f>
        <x:v>Non-Recoverable</x:v>
      </x:c>
    </x:row>
    <x:row r="80">
      <x:c r="A80" s="34"/>
      <x:c r="B80" s="34"/>
      <x:c r="C80" s="35"/>
      <x:c r="D80" s="36"/>
      <x:c r="E80" s="36"/>
      <x:c r="F80" s="35"/>
      <x:c r="G80" s="36"/>
      <x:c r="H80" s="35"/>
      <x:c r="I80" s="40" t="str">
        <x:f>IFERROR(D80/E80,"")</x:f>
      </x:c>
      <x:c r="J80" s="41" t="n">
        <x:f>E80-D80</x:f>
        <x:v>0</x:v>
      </x:c>
      <x:c r="K80" s="41" t="n">
        <x:f>E80+(H80-C80)</x:f>
        <x:v>0</x:v>
      </x:c>
      <x:c r="L80" s="41" t="n">
        <x:f>FLOOR(K80*0.2,1)</x:f>
        <x:v>0</x:v>
      </x:c>
      <x:c r="M80" s="41" t="n">
        <x:f>MAX(L80-J80,0)</x:f>
        <x:v>0</x:v>
      </x:c>
      <x:c r="N80" s="42" t="n">
        <x:f>F80+G80-1</x:f>
        <x:v>-1</x:v>
      </x:c>
      <x:c r="O80" s="41" t="n">
        <x:f>MAX(N80-C80,0)</x:f>
        <x:v>0</x:v>
      </x:c>
      <x:c r="P80" s="41" t="n">
        <x:f>D80+O80</x:f>
        <x:v>0</x:v>
      </x:c>
      <x:c r="Q80" s="42" t="n">
        <x:f>MAX(C80,N80+1)</x:f>
        <x:v>0</x:v>
      </x:c>
      <x:c r="R80" s="41" t="n">
        <x:f>D80+(H80-C80)</x:f>
        <x:v>0</x:v>
      </x:c>
      <x:c r="S80" s="41" t="n">
        <x:f>K80</x:f>
        <x:v>0</x:v>
      </x:c>
      <x:c r="T80" s="40" t="str">
        <x:f>IFERROR(R80/S80,"")</x:f>
      </x:c>
      <x:c r="U80" s="41" t="n">
        <x:f>IF(T80&lt;0.8,0,1)</x:f>
        <x:v>0</x:v>
      </x:c>
      <x:c r="V80" s="42" t="str">
        <x:f>IF(U80=0,"",Q80+M80)</x:f>
      </x:c>
      <x:c r="W80" s="42" t="str">
        <x:f>IF(U80=0,"",MIN(V80,H80))</x:f>
      </x:c>
      <x:c r="X80" s="41" t="n">
        <x:f>IF(U80=0,0,W80-C80)</x:f>
        <x:v>0</x:v>
      </x:c>
      <x:c r="Y80" s="43" t="str">
        <x:f>IF(U80=0,"Non-Recoverable",IF(V80&gt;H80,"Safe through EOY","Unrecov in "&amp;X80&amp;"d ("&amp;TEXT(W80,"mm/dd")&amp;")"))</x:f>
        <x:v>Non-Recoverable</x:v>
      </x:c>
    </x:row>
    <x:row r="81">
      <x:c r="A81" s="34"/>
      <x:c r="B81" s="34"/>
      <x:c r="C81" s="35"/>
      <x:c r="D81" s="36"/>
      <x:c r="E81" s="36"/>
      <x:c r="F81" s="35"/>
      <x:c r="G81" s="36"/>
      <x:c r="H81" s="35"/>
      <x:c r="I81" s="40" t="str">
        <x:f>IFERROR(D81/E81,"")</x:f>
      </x:c>
      <x:c r="J81" s="41" t="n">
        <x:f>E81-D81</x:f>
        <x:v>0</x:v>
      </x:c>
      <x:c r="K81" s="41" t="n">
        <x:f>E81+(H81-C81)</x:f>
        <x:v>0</x:v>
      </x:c>
      <x:c r="L81" s="41" t="n">
        <x:f>FLOOR(K81*0.2,1)</x:f>
        <x:v>0</x:v>
      </x:c>
      <x:c r="M81" s="41" t="n">
        <x:f>MAX(L81-J81,0)</x:f>
        <x:v>0</x:v>
      </x:c>
      <x:c r="N81" s="42" t="n">
        <x:f>F81+G81-1</x:f>
        <x:v>-1</x:v>
      </x:c>
      <x:c r="O81" s="41" t="n">
        <x:f>MAX(N81-C81,0)</x:f>
        <x:v>0</x:v>
      </x:c>
      <x:c r="P81" s="41" t="n">
        <x:f>D81+O81</x:f>
        <x:v>0</x:v>
      </x:c>
      <x:c r="Q81" s="42" t="n">
        <x:f>MAX(C81,N81+1)</x:f>
        <x:v>0</x:v>
      </x:c>
      <x:c r="R81" s="41" t="n">
        <x:f>D81+(H81-C81)</x:f>
        <x:v>0</x:v>
      </x:c>
      <x:c r="S81" s="41" t="n">
        <x:f>K81</x:f>
        <x:v>0</x:v>
      </x:c>
      <x:c r="T81" s="40" t="str">
        <x:f>IFERROR(R81/S81,"")</x:f>
      </x:c>
      <x:c r="U81" s="41" t="n">
        <x:f>IF(T81&lt;0.8,0,1)</x:f>
        <x:v>0</x:v>
      </x:c>
      <x:c r="V81" s="42" t="str">
        <x:f>IF(U81=0,"",Q81+M81)</x:f>
      </x:c>
      <x:c r="W81" s="42" t="str">
        <x:f>IF(U81=0,"",MIN(V81,H81))</x:f>
      </x:c>
      <x:c r="X81" s="41" t="n">
        <x:f>IF(U81=0,0,W81-C81)</x:f>
        <x:v>0</x:v>
      </x:c>
      <x:c r="Y81" s="43" t="str">
        <x:f>IF(U81=0,"Non-Recoverable",IF(V81&gt;H81,"Safe through EOY","Unrecov in "&amp;X81&amp;"d ("&amp;TEXT(W81,"mm/dd")&amp;")"))</x:f>
        <x:v>Non-Recoverable</x:v>
      </x:c>
    </x:row>
    <x:row r="82">
      <x:c r="A82" s="34"/>
      <x:c r="B82" s="34"/>
      <x:c r="C82" s="35"/>
      <x:c r="D82" s="36"/>
      <x:c r="E82" s="36"/>
      <x:c r="F82" s="35"/>
      <x:c r="G82" s="36"/>
      <x:c r="H82" s="35"/>
      <x:c r="I82" s="40" t="str">
        <x:f>IFERROR(D82/E82,"")</x:f>
      </x:c>
      <x:c r="J82" s="41" t="n">
        <x:f>E82-D82</x:f>
        <x:v>0</x:v>
      </x:c>
      <x:c r="K82" s="41" t="n">
        <x:f>E82+(H82-C82)</x:f>
        <x:v>0</x:v>
      </x:c>
      <x:c r="L82" s="41" t="n">
        <x:f>FLOOR(K82*0.2,1)</x:f>
        <x:v>0</x:v>
      </x:c>
      <x:c r="M82" s="41" t="n">
        <x:f>MAX(L82-J82,0)</x:f>
        <x:v>0</x:v>
      </x:c>
      <x:c r="N82" s="42" t="n">
        <x:f>F82+G82-1</x:f>
        <x:v>-1</x:v>
      </x:c>
      <x:c r="O82" s="41" t="n">
        <x:f>MAX(N82-C82,0)</x:f>
        <x:v>0</x:v>
      </x:c>
      <x:c r="P82" s="41" t="n">
        <x:f>D82+O82</x:f>
        <x:v>0</x:v>
      </x:c>
      <x:c r="Q82" s="42" t="n">
        <x:f>MAX(C82,N82+1)</x:f>
        <x:v>0</x:v>
      </x:c>
      <x:c r="R82" s="41" t="n">
        <x:f>D82+(H82-C82)</x:f>
        <x:v>0</x:v>
      </x:c>
      <x:c r="S82" s="41" t="n">
        <x:f>K82</x:f>
        <x:v>0</x:v>
      </x:c>
      <x:c r="T82" s="40" t="str">
        <x:f>IFERROR(R82/S82,"")</x:f>
      </x:c>
      <x:c r="U82" s="41" t="n">
        <x:f>IF(T82&lt;0.8,0,1)</x:f>
        <x:v>0</x:v>
      </x:c>
      <x:c r="V82" s="42" t="str">
        <x:f>IF(U82=0,"",Q82+M82)</x:f>
      </x:c>
      <x:c r="W82" s="42" t="str">
        <x:f>IF(U82=0,"",MIN(V82,H82))</x:f>
      </x:c>
      <x:c r="X82" s="41" t="n">
        <x:f>IF(U82=0,0,W82-C82)</x:f>
        <x:v>0</x:v>
      </x:c>
      <x:c r="Y82" s="43" t="str">
        <x:f>IF(U82=0,"Non-Recoverable",IF(V82&gt;H82,"Safe through EOY","Unrecov in "&amp;X82&amp;"d ("&amp;TEXT(W82,"mm/dd")&amp;")"))</x:f>
        <x:v>Non-Recoverable</x:v>
      </x:c>
    </x:row>
    <x:row r="83">
      <x:c r="A83" s="34"/>
      <x:c r="B83" s="34"/>
      <x:c r="C83" s="35"/>
      <x:c r="D83" s="36"/>
      <x:c r="E83" s="36"/>
      <x:c r="F83" s="35"/>
      <x:c r="G83" s="36"/>
      <x:c r="H83" s="35"/>
      <x:c r="I83" s="40" t="str">
        <x:f>IFERROR(D83/E83,"")</x:f>
      </x:c>
      <x:c r="J83" s="41" t="n">
        <x:f>E83-D83</x:f>
        <x:v>0</x:v>
      </x:c>
      <x:c r="K83" s="41" t="n">
        <x:f>E83+(H83-C83)</x:f>
        <x:v>0</x:v>
      </x:c>
      <x:c r="L83" s="41" t="n">
        <x:f>FLOOR(K83*0.2,1)</x:f>
        <x:v>0</x:v>
      </x:c>
      <x:c r="M83" s="41" t="n">
        <x:f>MAX(L83-J83,0)</x:f>
        <x:v>0</x:v>
      </x:c>
      <x:c r="N83" s="42" t="n">
        <x:f>F83+G83-1</x:f>
        <x:v>-1</x:v>
      </x:c>
      <x:c r="O83" s="41" t="n">
        <x:f>MAX(N83-C83,0)</x:f>
        <x:v>0</x:v>
      </x:c>
      <x:c r="P83" s="41" t="n">
        <x:f>D83+O83</x:f>
        <x:v>0</x:v>
      </x:c>
      <x:c r="Q83" s="42" t="n">
        <x:f>MAX(C83,N83+1)</x:f>
        <x:v>0</x:v>
      </x:c>
      <x:c r="R83" s="41" t="n">
        <x:f>D83+(H83-C83)</x:f>
        <x:v>0</x:v>
      </x:c>
      <x:c r="S83" s="41" t="n">
        <x:f>K83</x:f>
        <x:v>0</x:v>
      </x:c>
      <x:c r="T83" s="40" t="str">
        <x:f>IFERROR(R83/S83,"")</x:f>
      </x:c>
      <x:c r="U83" s="41" t="n">
        <x:f>IF(T83&lt;0.8,0,1)</x:f>
        <x:v>0</x:v>
      </x:c>
      <x:c r="V83" s="42" t="str">
        <x:f>IF(U83=0,"",Q83+M83)</x:f>
      </x:c>
      <x:c r="W83" s="42" t="str">
        <x:f>IF(U83=0,"",MIN(V83,H83))</x:f>
      </x:c>
      <x:c r="X83" s="41" t="n">
        <x:f>IF(U83=0,0,W83-C83)</x:f>
        <x:v>0</x:v>
      </x:c>
      <x:c r="Y83" s="43" t="str">
        <x:f>IF(U83=0,"Non-Recoverable",IF(V83&gt;H83,"Safe through EOY","Unrecov in "&amp;X83&amp;"d ("&amp;TEXT(W83,"mm/dd")&amp;")"))</x:f>
        <x:v>Non-Recoverable</x:v>
      </x:c>
    </x:row>
    <x:row r="84">
      <x:c r="A84" s="34"/>
      <x:c r="B84" s="34"/>
      <x:c r="C84" s="35"/>
      <x:c r="D84" s="36"/>
      <x:c r="E84" s="36"/>
      <x:c r="F84" s="35"/>
      <x:c r="G84" s="36"/>
      <x:c r="H84" s="35"/>
      <x:c r="I84" s="40" t="str">
        <x:f>IFERROR(D84/E84,"")</x:f>
      </x:c>
      <x:c r="J84" s="41" t="n">
        <x:f>E84-D84</x:f>
        <x:v>0</x:v>
      </x:c>
      <x:c r="K84" s="41" t="n">
        <x:f>E84+(H84-C84)</x:f>
        <x:v>0</x:v>
      </x:c>
      <x:c r="L84" s="41" t="n">
        <x:f>FLOOR(K84*0.2,1)</x:f>
        <x:v>0</x:v>
      </x:c>
      <x:c r="M84" s="41" t="n">
        <x:f>MAX(L84-J84,0)</x:f>
        <x:v>0</x:v>
      </x:c>
      <x:c r="N84" s="42" t="n">
        <x:f>F84+G84-1</x:f>
        <x:v>-1</x:v>
      </x:c>
      <x:c r="O84" s="41" t="n">
        <x:f>MAX(N84-C84,0)</x:f>
        <x:v>0</x:v>
      </x:c>
      <x:c r="P84" s="41" t="n">
        <x:f>D84+O84</x:f>
        <x:v>0</x:v>
      </x:c>
      <x:c r="Q84" s="42" t="n">
        <x:f>MAX(C84,N84+1)</x:f>
        <x:v>0</x:v>
      </x:c>
      <x:c r="R84" s="41" t="n">
        <x:f>D84+(H84-C84)</x:f>
        <x:v>0</x:v>
      </x:c>
      <x:c r="S84" s="41" t="n">
        <x:f>K84</x:f>
        <x:v>0</x:v>
      </x:c>
      <x:c r="T84" s="40" t="str">
        <x:f>IFERROR(R84/S84,"")</x:f>
      </x:c>
      <x:c r="U84" s="41" t="n">
        <x:f>IF(T84&lt;0.8,0,1)</x:f>
        <x:v>0</x:v>
      </x:c>
      <x:c r="V84" s="42" t="str">
        <x:f>IF(U84=0,"",Q84+M84)</x:f>
      </x:c>
      <x:c r="W84" s="42" t="str">
        <x:f>IF(U84=0,"",MIN(V84,H84))</x:f>
      </x:c>
      <x:c r="X84" s="41" t="n">
        <x:f>IF(U84=0,0,W84-C84)</x:f>
        <x:v>0</x:v>
      </x:c>
      <x:c r="Y84" s="43" t="str">
        <x:f>IF(U84=0,"Non-Recoverable",IF(V84&gt;H84,"Safe through EOY","Unrecov in "&amp;X84&amp;"d ("&amp;TEXT(W84,"mm/dd")&amp;")"))</x:f>
        <x:v>Non-Recoverable</x:v>
      </x:c>
    </x:row>
    <x:row r="85">
      <x:c r="A85" s="34"/>
      <x:c r="B85" s="34"/>
      <x:c r="C85" s="35"/>
      <x:c r="D85" s="36"/>
      <x:c r="E85" s="36"/>
      <x:c r="F85" s="35"/>
      <x:c r="G85" s="36"/>
      <x:c r="H85" s="35"/>
      <x:c r="I85" s="40" t="str">
        <x:f>IFERROR(D85/E85,"")</x:f>
      </x:c>
      <x:c r="J85" s="41" t="n">
        <x:f>E85-D85</x:f>
        <x:v>0</x:v>
      </x:c>
      <x:c r="K85" s="41" t="n">
        <x:f>E85+(H85-C85)</x:f>
        <x:v>0</x:v>
      </x:c>
      <x:c r="L85" s="41" t="n">
        <x:f>FLOOR(K85*0.2,1)</x:f>
        <x:v>0</x:v>
      </x:c>
      <x:c r="M85" s="41" t="n">
        <x:f>MAX(L85-J85,0)</x:f>
        <x:v>0</x:v>
      </x:c>
      <x:c r="N85" s="42" t="n">
        <x:f>F85+G85-1</x:f>
        <x:v>-1</x:v>
      </x:c>
      <x:c r="O85" s="41" t="n">
        <x:f>MAX(N85-C85,0)</x:f>
        <x:v>0</x:v>
      </x:c>
      <x:c r="P85" s="41" t="n">
        <x:f>D85+O85</x:f>
        <x:v>0</x:v>
      </x:c>
      <x:c r="Q85" s="42" t="n">
        <x:f>MAX(C85,N85+1)</x:f>
        <x:v>0</x:v>
      </x:c>
      <x:c r="R85" s="41" t="n">
        <x:f>D85+(H85-C85)</x:f>
        <x:v>0</x:v>
      </x:c>
      <x:c r="S85" s="41" t="n">
        <x:f>K85</x:f>
        <x:v>0</x:v>
      </x:c>
      <x:c r="T85" s="40" t="str">
        <x:f>IFERROR(R85/S85,"")</x:f>
      </x:c>
      <x:c r="U85" s="41" t="n">
        <x:f>IF(T85&lt;0.8,0,1)</x:f>
        <x:v>0</x:v>
      </x:c>
      <x:c r="V85" s="42" t="str">
        <x:f>IF(U85=0,"",Q85+M85)</x:f>
      </x:c>
      <x:c r="W85" s="42" t="str">
        <x:f>IF(U85=0,"",MIN(V85,H85))</x:f>
      </x:c>
      <x:c r="X85" s="41" t="n">
        <x:f>IF(U85=0,0,W85-C85)</x:f>
        <x:v>0</x:v>
      </x:c>
      <x:c r="Y85" s="43" t="str">
        <x:f>IF(U85=0,"Non-Recoverable",IF(V85&gt;H85,"Safe through EOY","Unrecov in "&amp;X85&amp;"d ("&amp;TEXT(W85,"mm/dd")&amp;")"))</x:f>
        <x:v>Non-Recoverable</x:v>
      </x:c>
    </x:row>
    <x:row r="86">
      <x:c r="A86" s="34"/>
      <x:c r="B86" s="34"/>
      <x:c r="C86" s="35"/>
      <x:c r="D86" s="36"/>
      <x:c r="E86" s="36"/>
      <x:c r="F86" s="35"/>
      <x:c r="G86" s="36"/>
      <x:c r="H86" s="35"/>
      <x:c r="I86" s="40" t="str">
        <x:f>IFERROR(D86/E86,"")</x:f>
      </x:c>
      <x:c r="J86" s="41" t="n">
        <x:f>E86-D86</x:f>
        <x:v>0</x:v>
      </x:c>
      <x:c r="K86" s="41" t="n">
        <x:f>E86+(H86-C86)</x:f>
        <x:v>0</x:v>
      </x:c>
      <x:c r="L86" s="41" t="n">
        <x:f>FLOOR(K86*0.2,1)</x:f>
        <x:v>0</x:v>
      </x:c>
      <x:c r="M86" s="41" t="n">
        <x:f>MAX(L86-J86,0)</x:f>
        <x:v>0</x:v>
      </x:c>
      <x:c r="N86" s="42" t="n">
        <x:f>F86+G86-1</x:f>
        <x:v>-1</x:v>
      </x:c>
      <x:c r="O86" s="41" t="n">
        <x:f>MAX(N86-C86,0)</x:f>
        <x:v>0</x:v>
      </x:c>
      <x:c r="P86" s="41" t="n">
        <x:f>D86+O86</x:f>
        <x:v>0</x:v>
      </x:c>
      <x:c r="Q86" s="42" t="n">
        <x:f>MAX(C86,N86+1)</x:f>
        <x:v>0</x:v>
      </x:c>
      <x:c r="R86" s="41" t="n">
        <x:f>D86+(H86-C86)</x:f>
        <x:v>0</x:v>
      </x:c>
      <x:c r="S86" s="41" t="n">
        <x:f>K86</x:f>
        <x:v>0</x:v>
      </x:c>
      <x:c r="T86" s="40" t="str">
        <x:f>IFERROR(R86/S86,"")</x:f>
      </x:c>
      <x:c r="U86" s="41" t="n">
        <x:f>IF(T86&lt;0.8,0,1)</x:f>
        <x:v>0</x:v>
      </x:c>
      <x:c r="V86" s="42" t="str">
        <x:f>IF(U86=0,"",Q86+M86)</x:f>
      </x:c>
      <x:c r="W86" s="42" t="str">
        <x:f>IF(U86=0,"",MIN(V86,H86))</x:f>
      </x:c>
      <x:c r="X86" s="41" t="n">
        <x:f>IF(U86=0,0,W86-C86)</x:f>
        <x:v>0</x:v>
      </x:c>
      <x:c r="Y86" s="43" t="str">
        <x:f>IF(U86=0,"Non-Recoverable",IF(V86&gt;H86,"Safe through EOY","Unrecov in "&amp;X86&amp;"d ("&amp;TEXT(W86,"mm/dd")&amp;")"))</x:f>
        <x:v>Non-Recoverable</x:v>
      </x:c>
    </x:row>
    <x:row r="87">
      <x:c r="A87" s="34"/>
      <x:c r="B87" s="34"/>
      <x:c r="C87" s="35"/>
      <x:c r="D87" s="36"/>
      <x:c r="E87" s="36"/>
      <x:c r="F87" s="35"/>
      <x:c r="G87" s="36"/>
      <x:c r="H87" s="35"/>
      <x:c r="I87" s="40" t="str">
        <x:f>IFERROR(D87/E87,"")</x:f>
      </x:c>
      <x:c r="J87" s="41" t="n">
        <x:f>E87-D87</x:f>
        <x:v>0</x:v>
      </x:c>
      <x:c r="K87" s="41" t="n">
        <x:f>E87+(H87-C87)</x:f>
        <x:v>0</x:v>
      </x:c>
      <x:c r="L87" s="41" t="n">
        <x:f>FLOOR(K87*0.2,1)</x:f>
        <x:v>0</x:v>
      </x:c>
      <x:c r="M87" s="41" t="n">
        <x:f>MAX(L87-J87,0)</x:f>
        <x:v>0</x:v>
      </x:c>
      <x:c r="N87" s="42" t="n">
        <x:f>F87+G87-1</x:f>
        <x:v>-1</x:v>
      </x:c>
      <x:c r="O87" s="41" t="n">
        <x:f>MAX(N87-C87,0)</x:f>
        <x:v>0</x:v>
      </x:c>
      <x:c r="P87" s="41" t="n">
        <x:f>D87+O87</x:f>
        <x:v>0</x:v>
      </x:c>
      <x:c r="Q87" s="42" t="n">
        <x:f>MAX(C87,N87+1)</x:f>
        <x:v>0</x:v>
      </x:c>
      <x:c r="R87" s="41" t="n">
        <x:f>D87+(H87-C87)</x:f>
        <x:v>0</x:v>
      </x:c>
      <x:c r="S87" s="41" t="n">
        <x:f>K87</x:f>
        <x:v>0</x:v>
      </x:c>
      <x:c r="T87" s="40" t="str">
        <x:f>IFERROR(R87/S87,"")</x:f>
      </x:c>
      <x:c r="U87" s="41" t="n">
        <x:f>IF(T87&lt;0.8,0,1)</x:f>
        <x:v>0</x:v>
      </x:c>
      <x:c r="V87" s="42" t="str">
        <x:f>IF(U87=0,"",Q87+M87)</x:f>
      </x:c>
      <x:c r="W87" s="42" t="str">
        <x:f>IF(U87=0,"",MIN(V87,H87))</x:f>
      </x:c>
      <x:c r="X87" s="41" t="n">
        <x:f>IF(U87=0,0,W87-C87)</x:f>
        <x:v>0</x:v>
      </x:c>
      <x:c r="Y87" s="43" t="str">
        <x:f>IF(U87=0,"Non-Recoverable",IF(V87&gt;H87,"Safe through EOY","Unrecov in "&amp;X87&amp;"d ("&amp;TEXT(W87,"mm/dd")&amp;")"))</x:f>
        <x:v>Non-Recoverable</x:v>
      </x:c>
    </x:row>
    <x:row r="88">
      <x:c r="A88" s="34"/>
      <x:c r="B88" s="34"/>
      <x:c r="C88" s="35"/>
      <x:c r="D88" s="36"/>
      <x:c r="E88" s="36"/>
      <x:c r="F88" s="35"/>
      <x:c r="G88" s="36"/>
      <x:c r="H88" s="35"/>
      <x:c r="I88" s="40" t="str">
        <x:f>IFERROR(D88/E88,"")</x:f>
      </x:c>
      <x:c r="J88" s="41" t="n">
        <x:f>E88-D88</x:f>
        <x:v>0</x:v>
      </x:c>
      <x:c r="K88" s="41" t="n">
        <x:f>E88+(H88-C88)</x:f>
        <x:v>0</x:v>
      </x:c>
      <x:c r="L88" s="41" t="n">
        <x:f>FLOOR(K88*0.2,1)</x:f>
        <x:v>0</x:v>
      </x:c>
      <x:c r="M88" s="41" t="n">
        <x:f>MAX(L88-J88,0)</x:f>
        <x:v>0</x:v>
      </x:c>
      <x:c r="N88" s="42" t="n">
        <x:f>F88+G88-1</x:f>
        <x:v>-1</x:v>
      </x:c>
      <x:c r="O88" s="41" t="n">
        <x:f>MAX(N88-C88,0)</x:f>
        <x:v>0</x:v>
      </x:c>
      <x:c r="P88" s="41" t="n">
        <x:f>D88+O88</x:f>
        <x:v>0</x:v>
      </x:c>
      <x:c r="Q88" s="42" t="n">
        <x:f>MAX(C88,N88+1)</x:f>
        <x:v>0</x:v>
      </x:c>
      <x:c r="R88" s="41" t="n">
        <x:f>D88+(H88-C88)</x:f>
        <x:v>0</x:v>
      </x:c>
      <x:c r="S88" s="41" t="n">
        <x:f>K88</x:f>
        <x:v>0</x:v>
      </x:c>
      <x:c r="T88" s="40" t="str">
        <x:f>IFERROR(R88/S88,"")</x:f>
      </x:c>
      <x:c r="U88" s="41" t="n">
        <x:f>IF(T88&lt;0.8,0,1)</x:f>
        <x:v>0</x:v>
      </x:c>
      <x:c r="V88" s="42" t="str">
        <x:f>IF(U88=0,"",Q88+M88)</x:f>
      </x:c>
      <x:c r="W88" s="42" t="str">
        <x:f>IF(U88=0,"",MIN(V88,H88))</x:f>
      </x:c>
      <x:c r="X88" s="41" t="n">
        <x:f>IF(U88=0,0,W88-C88)</x:f>
        <x:v>0</x:v>
      </x:c>
      <x:c r="Y88" s="43" t="str">
        <x:f>IF(U88=0,"Non-Recoverable",IF(V88&gt;H88,"Safe through EOY","Unrecov in "&amp;X88&amp;"d ("&amp;TEXT(W88,"mm/dd")&amp;")"))</x:f>
        <x:v>Non-Recoverable</x:v>
      </x:c>
    </x:row>
    <x:row r="89">
      <x:c r="A89" s="34"/>
      <x:c r="B89" s="34"/>
      <x:c r="C89" s="35"/>
      <x:c r="D89" s="36"/>
      <x:c r="E89" s="36"/>
      <x:c r="F89" s="35"/>
      <x:c r="G89" s="36"/>
      <x:c r="H89" s="35"/>
      <x:c r="I89" s="40" t="str">
        <x:f>IFERROR(D89/E89,"")</x:f>
      </x:c>
      <x:c r="J89" s="41" t="n">
        <x:f>E89-D89</x:f>
        <x:v>0</x:v>
      </x:c>
      <x:c r="K89" s="41" t="n">
        <x:f>E89+(H89-C89)</x:f>
        <x:v>0</x:v>
      </x:c>
      <x:c r="L89" s="41" t="n">
        <x:f>FLOOR(K89*0.2,1)</x:f>
        <x:v>0</x:v>
      </x:c>
      <x:c r="M89" s="41" t="n">
        <x:f>MAX(L89-J89,0)</x:f>
        <x:v>0</x:v>
      </x:c>
      <x:c r="N89" s="42" t="n">
        <x:f>F89+G89-1</x:f>
        <x:v>-1</x:v>
      </x:c>
      <x:c r="O89" s="41" t="n">
        <x:f>MAX(N89-C89,0)</x:f>
        <x:v>0</x:v>
      </x:c>
      <x:c r="P89" s="41" t="n">
        <x:f>D89+O89</x:f>
        <x:v>0</x:v>
      </x:c>
      <x:c r="Q89" s="42" t="n">
        <x:f>MAX(C89,N89+1)</x:f>
        <x:v>0</x:v>
      </x:c>
      <x:c r="R89" s="41" t="n">
        <x:f>D89+(H89-C89)</x:f>
        <x:v>0</x:v>
      </x:c>
      <x:c r="S89" s="41" t="n">
        <x:f>K89</x:f>
        <x:v>0</x:v>
      </x:c>
      <x:c r="T89" s="40" t="str">
        <x:f>IFERROR(R89/S89,"")</x:f>
      </x:c>
      <x:c r="U89" s="41" t="n">
        <x:f>IF(T89&lt;0.8,0,1)</x:f>
        <x:v>0</x:v>
      </x:c>
      <x:c r="V89" s="42" t="str">
        <x:f>IF(U89=0,"",Q89+M89)</x:f>
      </x:c>
      <x:c r="W89" s="42" t="str">
        <x:f>IF(U89=0,"",MIN(V89,H89))</x:f>
      </x:c>
      <x:c r="X89" s="41" t="n">
        <x:f>IF(U89=0,0,W89-C89)</x:f>
        <x:v>0</x:v>
      </x:c>
      <x:c r="Y89" s="43" t="str">
        <x:f>IF(U89=0,"Non-Recoverable",IF(V89&gt;H89,"Safe through EOY","Unrecov in "&amp;X89&amp;"d ("&amp;TEXT(W89,"mm/dd")&amp;")"))</x:f>
        <x:v>Non-Recoverable</x:v>
      </x:c>
    </x:row>
    <x:row r="90">
      <x:c r="A90" s="34"/>
      <x:c r="B90" s="34"/>
      <x:c r="C90" s="35"/>
      <x:c r="D90" s="36"/>
      <x:c r="E90" s="36"/>
      <x:c r="F90" s="35"/>
      <x:c r="G90" s="36"/>
      <x:c r="H90" s="35"/>
      <x:c r="I90" s="40" t="str">
        <x:f>IFERROR(D90/E90,"")</x:f>
      </x:c>
      <x:c r="J90" s="41" t="n">
        <x:f>E90-D90</x:f>
        <x:v>0</x:v>
      </x:c>
      <x:c r="K90" s="41" t="n">
        <x:f>E90+(H90-C90)</x:f>
        <x:v>0</x:v>
      </x:c>
      <x:c r="L90" s="41" t="n">
        <x:f>FLOOR(K90*0.2,1)</x:f>
        <x:v>0</x:v>
      </x:c>
      <x:c r="M90" s="41" t="n">
        <x:f>MAX(L90-J90,0)</x:f>
        <x:v>0</x:v>
      </x:c>
      <x:c r="N90" s="42" t="n">
        <x:f>F90+G90-1</x:f>
        <x:v>-1</x:v>
      </x:c>
      <x:c r="O90" s="41" t="n">
        <x:f>MAX(N90-C90,0)</x:f>
        <x:v>0</x:v>
      </x:c>
      <x:c r="P90" s="41" t="n">
        <x:f>D90+O90</x:f>
        <x:v>0</x:v>
      </x:c>
      <x:c r="Q90" s="42" t="n">
        <x:f>MAX(C90,N90+1)</x:f>
        <x:v>0</x:v>
      </x:c>
      <x:c r="R90" s="41" t="n">
        <x:f>D90+(H90-C90)</x:f>
        <x:v>0</x:v>
      </x:c>
      <x:c r="S90" s="41" t="n">
        <x:f>K90</x:f>
        <x:v>0</x:v>
      </x:c>
      <x:c r="T90" s="40" t="str">
        <x:f>IFERROR(R90/S90,"")</x:f>
      </x:c>
      <x:c r="U90" s="41" t="n">
        <x:f>IF(T90&lt;0.8,0,1)</x:f>
        <x:v>0</x:v>
      </x:c>
      <x:c r="V90" s="42" t="str">
        <x:f>IF(U90=0,"",Q90+M90)</x:f>
      </x:c>
      <x:c r="W90" s="42" t="str">
        <x:f>IF(U90=0,"",MIN(V90,H90))</x:f>
      </x:c>
      <x:c r="X90" s="41" t="n">
        <x:f>IF(U90=0,0,W90-C90)</x:f>
        <x:v>0</x:v>
      </x:c>
      <x:c r="Y90" s="43" t="str">
        <x:f>IF(U90=0,"Non-Recoverable",IF(V90&gt;H90,"Safe through EOY","Unrecov in "&amp;X90&amp;"d ("&amp;TEXT(W90,"mm/dd")&amp;")"))</x:f>
        <x:v>Non-Recoverable</x:v>
      </x:c>
    </x:row>
    <x:row r="91">
      <x:c r="A91" s="34"/>
      <x:c r="B91" s="34"/>
      <x:c r="C91" s="35"/>
      <x:c r="D91" s="36"/>
      <x:c r="E91" s="36"/>
      <x:c r="F91" s="35"/>
      <x:c r="G91" s="36"/>
      <x:c r="H91" s="35"/>
      <x:c r="I91" s="40" t="str">
        <x:f>IFERROR(D91/E91,"")</x:f>
      </x:c>
      <x:c r="J91" s="41" t="n">
        <x:f>E91-D91</x:f>
        <x:v>0</x:v>
      </x:c>
      <x:c r="K91" s="41" t="n">
        <x:f>E91+(H91-C91)</x:f>
        <x:v>0</x:v>
      </x:c>
      <x:c r="L91" s="41" t="n">
        <x:f>FLOOR(K91*0.2,1)</x:f>
        <x:v>0</x:v>
      </x:c>
      <x:c r="M91" s="41" t="n">
        <x:f>MAX(L91-J91,0)</x:f>
        <x:v>0</x:v>
      </x:c>
      <x:c r="N91" s="42" t="n">
        <x:f>F91+G91-1</x:f>
        <x:v>-1</x:v>
      </x:c>
      <x:c r="O91" s="41" t="n">
        <x:f>MAX(N91-C91,0)</x:f>
        <x:v>0</x:v>
      </x:c>
      <x:c r="P91" s="41" t="n">
        <x:f>D91+O91</x:f>
        <x:v>0</x:v>
      </x:c>
      <x:c r="Q91" s="42" t="n">
        <x:f>MAX(C91,N91+1)</x:f>
        <x:v>0</x:v>
      </x:c>
      <x:c r="R91" s="41" t="n">
        <x:f>D91+(H91-C91)</x:f>
        <x:v>0</x:v>
      </x:c>
      <x:c r="S91" s="41" t="n">
        <x:f>K91</x:f>
        <x:v>0</x:v>
      </x:c>
      <x:c r="T91" s="40" t="str">
        <x:f>IFERROR(R91/S91,"")</x:f>
      </x:c>
      <x:c r="U91" s="41" t="n">
        <x:f>IF(T91&lt;0.8,0,1)</x:f>
        <x:v>0</x:v>
      </x:c>
      <x:c r="V91" s="42" t="str">
        <x:f>IF(U91=0,"",Q91+M91)</x:f>
      </x:c>
      <x:c r="W91" s="42" t="str">
        <x:f>IF(U91=0,"",MIN(V91,H91))</x:f>
      </x:c>
      <x:c r="X91" s="41" t="n">
        <x:f>IF(U91=0,0,W91-C91)</x:f>
        <x:v>0</x:v>
      </x:c>
      <x:c r="Y91" s="43" t="str">
        <x:f>IF(U91=0,"Non-Recoverable",IF(V91&gt;H91,"Safe through EOY","Unrecov in "&amp;X91&amp;"d ("&amp;TEXT(W91,"mm/dd")&amp;")"))</x:f>
        <x:v>Non-Recoverable</x:v>
      </x:c>
    </x:row>
    <x:row r="92">
      <x:c r="A92" s="34"/>
      <x:c r="B92" s="34"/>
      <x:c r="C92" s="35"/>
      <x:c r="D92" s="36"/>
      <x:c r="E92" s="36"/>
      <x:c r="F92" s="35"/>
      <x:c r="G92" s="36"/>
      <x:c r="H92" s="35"/>
      <x:c r="I92" s="40" t="str">
        <x:f>IFERROR(D92/E92,"")</x:f>
      </x:c>
      <x:c r="J92" s="41" t="n">
        <x:f>E92-D92</x:f>
        <x:v>0</x:v>
      </x:c>
      <x:c r="K92" s="41" t="n">
        <x:f>E92+(H92-C92)</x:f>
        <x:v>0</x:v>
      </x:c>
      <x:c r="L92" s="41" t="n">
        <x:f>FLOOR(K92*0.2,1)</x:f>
        <x:v>0</x:v>
      </x:c>
      <x:c r="M92" s="41" t="n">
        <x:f>MAX(L92-J92,0)</x:f>
        <x:v>0</x:v>
      </x:c>
      <x:c r="N92" s="42" t="n">
        <x:f>F92+G92-1</x:f>
        <x:v>-1</x:v>
      </x:c>
      <x:c r="O92" s="41" t="n">
        <x:f>MAX(N92-C92,0)</x:f>
        <x:v>0</x:v>
      </x:c>
      <x:c r="P92" s="41" t="n">
        <x:f>D92+O92</x:f>
        <x:v>0</x:v>
      </x:c>
      <x:c r="Q92" s="42" t="n">
        <x:f>MAX(C92,N92+1)</x:f>
        <x:v>0</x:v>
      </x:c>
      <x:c r="R92" s="41" t="n">
        <x:f>D92+(H92-C92)</x:f>
        <x:v>0</x:v>
      </x:c>
      <x:c r="S92" s="41" t="n">
        <x:f>K92</x:f>
        <x:v>0</x:v>
      </x:c>
      <x:c r="T92" s="40" t="str">
        <x:f>IFERROR(R92/S92,"")</x:f>
      </x:c>
      <x:c r="U92" s="41" t="n">
        <x:f>IF(T92&lt;0.8,0,1)</x:f>
        <x:v>0</x:v>
      </x:c>
      <x:c r="V92" s="42" t="str">
        <x:f>IF(U92=0,"",Q92+M92)</x:f>
      </x:c>
      <x:c r="W92" s="42" t="str">
        <x:f>IF(U92=0,"",MIN(V92,H92))</x:f>
      </x:c>
      <x:c r="X92" s="41" t="n">
        <x:f>IF(U92=0,0,W92-C92)</x:f>
        <x:v>0</x:v>
      </x:c>
      <x:c r="Y92" s="43" t="str">
        <x:f>IF(U92=0,"Non-Recoverable",IF(V92&gt;H92,"Safe through EOY","Unrecov in "&amp;X92&amp;"d ("&amp;TEXT(W92,"mm/dd")&amp;")"))</x:f>
        <x:v>Non-Recoverable</x:v>
      </x:c>
    </x:row>
    <x:row r="93">
      <x:c r="A93" s="34"/>
      <x:c r="B93" s="34"/>
      <x:c r="C93" s="35"/>
      <x:c r="D93" s="36"/>
      <x:c r="E93" s="36"/>
      <x:c r="F93" s="35"/>
      <x:c r="G93" s="36"/>
      <x:c r="H93" s="35"/>
      <x:c r="I93" s="40" t="str">
        <x:f>IFERROR(D93/E93,"")</x:f>
      </x:c>
      <x:c r="J93" s="41" t="n">
        <x:f>E93-D93</x:f>
        <x:v>0</x:v>
      </x:c>
      <x:c r="K93" s="41" t="n">
        <x:f>E93+(H93-C93)</x:f>
        <x:v>0</x:v>
      </x:c>
      <x:c r="L93" s="41" t="n">
        <x:f>FLOOR(K93*0.2,1)</x:f>
        <x:v>0</x:v>
      </x:c>
      <x:c r="M93" s="41" t="n">
        <x:f>MAX(L93-J93,0)</x:f>
        <x:v>0</x:v>
      </x:c>
      <x:c r="N93" s="42" t="n">
        <x:f>F93+G93-1</x:f>
        <x:v>-1</x:v>
      </x:c>
      <x:c r="O93" s="41" t="n">
        <x:f>MAX(N93-C93,0)</x:f>
        <x:v>0</x:v>
      </x:c>
      <x:c r="P93" s="41" t="n">
        <x:f>D93+O93</x:f>
        <x:v>0</x:v>
      </x:c>
      <x:c r="Q93" s="42" t="n">
        <x:f>MAX(C93,N93+1)</x:f>
        <x:v>0</x:v>
      </x:c>
      <x:c r="R93" s="41" t="n">
        <x:f>D93+(H93-C93)</x:f>
        <x:v>0</x:v>
      </x:c>
      <x:c r="S93" s="41" t="n">
        <x:f>K93</x:f>
        <x:v>0</x:v>
      </x:c>
      <x:c r="T93" s="40" t="str">
        <x:f>IFERROR(R93/S93,"")</x:f>
      </x:c>
      <x:c r="U93" s="41" t="n">
        <x:f>IF(T93&lt;0.8,0,1)</x:f>
        <x:v>0</x:v>
      </x:c>
      <x:c r="V93" s="42" t="str">
        <x:f>IF(U93=0,"",Q93+M93)</x:f>
      </x:c>
      <x:c r="W93" s="42" t="str">
        <x:f>IF(U93=0,"",MIN(V93,H93))</x:f>
      </x:c>
      <x:c r="X93" s="41" t="n">
        <x:f>IF(U93=0,0,W93-C93)</x:f>
        <x:v>0</x:v>
      </x:c>
      <x:c r="Y93" s="43" t="str">
        <x:f>IF(U93=0,"Non-Recoverable",IF(V93&gt;H93,"Safe through EOY","Unrecov in "&amp;X93&amp;"d ("&amp;TEXT(W93,"mm/dd")&amp;")"))</x:f>
        <x:v>Non-Recoverable</x:v>
      </x:c>
    </x:row>
    <x:row r="94">
      <x:c r="A94" s="34"/>
      <x:c r="B94" s="34"/>
      <x:c r="C94" s="35"/>
      <x:c r="D94" s="36"/>
      <x:c r="E94" s="36"/>
      <x:c r="F94" s="35"/>
      <x:c r="G94" s="36"/>
      <x:c r="H94" s="35"/>
      <x:c r="I94" s="40" t="str">
        <x:f>IFERROR(D94/E94,"")</x:f>
      </x:c>
      <x:c r="J94" s="41" t="n">
        <x:f>E94-D94</x:f>
        <x:v>0</x:v>
      </x:c>
      <x:c r="K94" s="41" t="n">
        <x:f>E94+(H94-C94)</x:f>
        <x:v>0</x:v>
      </x:c>
      <x:c r="L94" s="41" t="n">
        <x:f>FLOOR(K94*0.2,1)</x:f>
        <x:v>0</x:v>
      </x:c>
      <x:c r="M94" s="41" t="n">
        <x:f>MAX(L94-J94,0)</x:f>
        <x:v>0</x:v>
      </x:c>
      <x:c r="N94" s="42" t="n">
        <x:f>F94+G94-1</x:f>
        <x:v>-1</x:v>
      </x:c>
      <x:c r="O94" s="41" t="n">
        <x:f>MAX(N94-C94,0)</x:f>
        <x:v>0</x:v>
      </x:c>
      <x:c r="P94" s="41" t="n">
        <x:f>D94+O94</x:f>
        <x:v>0</x:v>
      </x:c>
      <x:c r="Q94" s="42" t="n">
        <x:f>MAX(C94,N94+1)</x:f>
        <x:v>0</x:v>
      </x:c>
      <x:c r="R94" s="41" t="n">
        <x:f>D94+(H94-C94)</x:f>
        <x:v>0</x:v>
      </x:c>
      <x:c r="S94" s="41" t="n">
        <x:f>K94</x:f>
        <x:v>0</x:v>
      </x:c>
      <x:c r="T94" s="40" t="str">
        <x:f>IFERROR(R94/S94,"")</x:f>
      </x:c>
      <x:c r="U94" s="41" t="n">
        <x:f>IF(T94&lt;0.8,0,1)</x:f>
        <x:v>0</x:v>
      </x:c>
      <x:c r="V94" s="42" t="str">
        <x:f>IF(U94=0,"",Q94+M94)</x:f>
      </x:c>
      <x:c r="W94" s="42" t="str">
        <x:f>IF(U94=0,"",MIN(V94,H94))</x:f>
      </x:c>
      <x:c r="X94" s="41" t="n">
        <x:f>IF(U94=0,0,W94-C94)</x:f>
        <x:v>0</x:v>
      </x:c>
      <x:c r="Y94" s="43" t="str">
        <x:f>IF(U94=0,"Non-Recoverable",IF(V94&gt;H94,"Safe through EOY","Unrecov in "&amp;X94&amp;"d ("&amp;TEXT(W94,"mm/dd")&amp;")"))</x:f>
        <x:v>Non-Recoverable</x:v>
      </x:c>
    </x:row>
    <x:row r="95">
      <x:c r="A95" s="34"/>
      <x:c r="B95" s="34"/>
      <x:c r="C95" s="35"/>
      <x:c r="D95" s="36"/>
      <x:c r="E95" s="36"/>
      <x:c r="F95" s="35"/>
      <x:c r="G95" s="36"/>
      <x:c r="H95" s="35"/>
      <x:c r="I95" s="40" t="str">
        <x:f>IFERROR(D95/E95,"")</x:f>
      </x:c>
      <x:c r="J95" s="41" t="n">
        <x:f>E95-D95</x:f>
        <x:v>0</x:v>
      </x:c>
      <x:c r="K95" s="41" t="n">
        <x:f>E95+(H95-C95)</x:f>
        <x:v>0</x:v>
      </x:c>
      <x:c r="L95" s="41" t="n">
        <x:f>FLOOR(K95*0.2,1)</x:f>
        <x:v>0</x:v>
      </x:c>
      <x:c r="M95" s="41" t="n">
        <x:f>MAX(L95-J95,0)</x:f>
        <x:v>0</x:v>
      </x:c>
      <x:c r="N95" s="42" t="n">
        <x:f>F95+G95-1</x:f>
        <x:v>-1</x:v>
      </x:c>
      <x:c r="O95" s="41" t="n">
        <x:f>MAX(N95-C95,0)</x:f>
        <x:v>0</x:v>
      </x:c>
      <x:c r="P95" s="41" t="n">
        <x:f>D95+O95</x:f>
        <x:v>0</x:v>
      </x:c>
      <x:c r="Q95" s="42" t="n">
        <x:f>MAX(C95,N95+1)</x:f>
        <x:v>0</x:v>
      </x:c>
      <x:c r="R95" s="41" t="n">
        <x:f>D95+(H95-C95)</x:f>
        <x:v>0</x:v>
      </x:c>
      <x:c r="S95" s="41" t="n">
        <x:f>K95</x:f>
        <x:v>0</x:v>
      </x:c>
      <x:c r="T95" s="40" t="str">
        <x:f>IFERROR(R95/S95,"")</x:f>
      </x:c>
      <x:c r="U95" s="41" t="n">
        <x:f>IF(T95&lt;0.8,0,1)</x:f>
        <x:v>0</x:v>
      </x:c>
      <x:c r="V95" s="42" t="str">
        <x:f>IF(U95=0,"",Q95+M95)</x:f>
      </x:c>
      <x:c r="W95" s="42" t="str">
        <x:f>IF(U95=0,"",MIN(V95,H95))</x:f>
      </x:c>
      <x:c r="X95" s="41" t="n">
        <x:f>IF(U95=0,0,W95-C95)</x:f>
        <x:v>0</x:v>
      </x:c>
      <x:c r="Y95" s="43" t="str">
        <x:f>IF(U95=0,"Non-Recoverable",IF(V95&gt;H95,"Safe through EOY","Unrecov in "&amp;X95&amp;"d ("&amp;TEXT(W95,"mm/dd")&amp;")"))</x:f>
        <x:v>Non-Recoverable</x:v>
      </x:c>
    </x:row>
    <x:row r="96">
      <x:c r="A96" s="34"/>
      <x:c r="B96" s="34"/>
      <x:c r="C96" s="35"/>
      <x:c r="D96" s="36"/>
      <x:c r="E96" s="36"/>
      <x:c r="F96" s="35"/>
      <x:c r="G96" s="36"/>
      <x:c r="H96" s="35"/>
      <x:c r="I96" s="40" t="str">
        <x:f>IFERROR(D96/E96,"")</x:f>
      </x:c>
      <x:c r="J96" s="41" t="n">
        <x:f>E96-D96</x:f>
        <x:v>0</x:v>
      </x:c>
      <x:c r="K96" s="41" t="n">
        <x:f>E96+(H96-C96)</x:f>
        <x:v>0</x:v>
      </x:c>
      <x:c r="L96" s="41" t="n">
        <x:f>FLOOR(K96*0.2,1)</x:f>
        <x:v>0</x:v>
      </x:c>
      <x:c r="M96" s="41" t="n">
        <x:f>MAX(L96-J96,0)</x:f>
        <x:v>0</x:v>
      </x:c>
      <x:c r="N96" s="42" t="n">
        <x:f>F96+G96-1</x:f>
        <x:v>-1</x:v>
      </x:c>
      <x:c r="O96" s="41" t="n">
        <x:f>MAX(N96-C96,0)</x:f>
        <x:v>0</x:v>
      </x:c>
      <x:c r="P96" s="41" t="n">
        <x:f>D96+O96</x:f>
        <x:v>0</x:v>
      </x:c>
      <x:c r="Q96" s="42" t="n">
        <x:f>MAX(C96,N96+1)</x:f>
        <x:v>0</x:v>
      </x:c>
      <x:c r="R96" s="41" t="n">
        <x:f>D96+(H96-C96)</x:f>
        <x:v>0</x:v>
      </x:c>
      <x:c r="S96" s="41" t="n">
        <x:f>K96</x:f>
        <x:v>0</x:v>
      </x:c>
      <x:c r="T96" s="40" t="str">
        <x:f>IFERROR(R96/S96,"")</x:f>
      </x:c>
      <x:c r="U96" s="41" t="n">
        <x:f>IF(T96&lt;0.8,0,1)</x:f>
        <x:v>0</x:v>
      </x:c>
      <x:c r="V96" s="42" t="str">
        <x:f>IF(U96=0,"",Q96+M96)</x:f>
      </x:c>
      <x:c r="W96" s="42" t="str">
        <x:f>IF(U96=0,"",MIN(V96,H96))</x:f>
      </x:c>
      <x:c r="X96" s="41" t="n">
        <x:f>IF(U96=0,0,W96-C96)</x:f>
        <x:v>0</x:v>
      </x:c>
      <x:c r="Y96" s="43" t="str">
        <x:f>IF(U96=0,"Non-Recoverable",IF(V96&gt;H96,"Safe through EOY","Unrecov in "&amp;X96&amp;"d ("&amp;TEXT(W96,"mm/dd")&amp;")"))</x:f>
        <x:v>Non-Recoverable</x:v>
      </x:c>
    </x:row>
    <x:row r="97">
      <x:c r="A97" s="34"/>
      <x:c r="B97" s="34"/>
      <x:c r="C97" s="35"/>
      <x:c r="D97" s="36"/>
      <x:c r="E97" s="36"/>
      <x:c r="F97" s="35"/>
      <x:c r="G97" s="36"/>
      <x:c r="H97" s="35"/>
      <x:c r="I97" s="40" t="str">
        <x:f>IFERROR(D97/E97,"")</x:f>
      </x:c>
      <x:c r="J97" s="41" t="n">
        <x:f>E97-D97</x:f>
        <x:v>0</x:v>
      </x:c>
      <x:c r="K97" s="41" t="n">
        <x:f>E97+(H97-C97)</x:f>
        <x:v>0</x:v>
      </x:c>
      <x:c r="L97" s="41" t="n">
        <x:f>FLOOR(K97*0.2,1)</x:f>
        <x:v>0</x:v>
      </x:c>
      <x:c r="M97" s="41" t="n">
        <x:f>MAX(L97-J97,0)</x:f>
        <x:v>0</x:v>
      </x:c>
      <x:c r="N97" s="42" t="n">
        <x:f>F97+G97-1</x:f>
        <x:v>-1</x:v>
      </x:c>
      <x:c r="O97" s="41" t="n">
        <x:f>MAX(N97-C97,0)</x:f>
        <x:v>0</x:v>
      </x:c>
      <x:c r="P97" s="41" t="n">
        <x:f>D97+O97</x:f>
        <x:v>0</x:v>
      </x:c>
      <x:c r="Q97" s="42" t="n">
        <x:f>MAX(C97,N97+1)</x:f>
        <x:v>0</x:v>
      </x:c>
      <x:c r="R97" s="41" t="n">
        <x:f>D97+(H97-C97)</x:f>
        <x:v>0</x:v>
      </x:c>
      <x:c r="S97" s="41" t="n">
        <x:f>K97</x:f>
        <x:v>0</x:v>
      </x:c>
      <x:c r="T97" s="40" t="str">
        <x:f>IFERROR(R97/S97,"")</x:f>
      </x:c>
      <x:c r="U97" s="41" t="n">
        <x:f>IF(T97&lt;0.8,0,1)</x:f>
        <x:v>0</x:v>
      </x:c>
      <x:c r="V97" s="42" t="str">
        <x:f>IF(U97=0,"",Q97+M97)</x:f>
      </x:c>
      <x:c r="W97" s="42" t="str">
        <x:f>IF(U97=0,"",MIN(V97,H97))</x:f>
      </x:c>
      <x:c r="X97" s="41" t="n">
        <x:f>IF(U97=0,0,W97-C97)</x:f>
        <x:v>0</x:v>
      </x:c>
      <x:c r="Y97" s="43" t="str">
        <x:f>IF(U97=0,"Non-Recoverable",IF(V97&gt;H97,"Safe through EOY","Unrecov in "&amp;X97&amp;"d ("&amp;TEXT(W97,"mm/dd")&amp;")"))</x:f>
        <x:v>Non-Recoverable</x:v>
      </x:c>
    </x:row>
    <x:row r="98">
      <x:c r="A98" s="34"/>
      <x:c r="B98" s="34"/>
      <x:c r="C98" s="35"/>
      <x:c r="D98" s="36"/>
      <x:c r="E98" s="36"/>
      <x:c r="F98" s="35"/>
      <x:c r="G98" s="36"/>
      <x:c r="H98" s="35"/>
      <x:c r="I98" s="40" t="str">
        <x:f>IFERROR(D98/E98,"")</x:f>
      </x:c>
      <x:c r="J98" s="41" t="n">
        <x:f>E98-D98</x:f>
        <x:v>0</x:v>
      </x:c>
      <x:c r="K98" s="41" t="n">
        <x:f>E98+(H98-C98)</x:f>
        <x:v>0</x:v>
      </x:c>
      <x:c r="L98" s="41" t="n">
        <x:f>FLOOR(K98*0.2,1)</x:f>
        <x:v>0</x:v>
      </x:c>
      <x:c r="M98" s="41" t="n">
        <x:f>MAX(L98-J98,0)</x:f>
        <x:v>0</x:v>
      </x:c>
      <x:c r="N98" s="42" t="n">
        <x:f>F98+G98-1</x:f>
        <x:v>-1</x:v>
      </x:c>
      <x:c r="O98" s="41" t="n">
        <x:f>MAX(N98-C98,0)</x:f>
        <x:v>0</x:v>
      </x:c>
      <x:c r="P98" s="41" t="n">
        <x:f>D98+O98</x:f>
        <x:v>0</x:v>
      </x:c>
      <x:c r="Q98" s="42" t="n">
        <x:f>MAX(C98,N98+1)</x:f>
        <x:v>0</x:v>
      </x:c>
      <x:c r="R98" s="41" t="n">
        <x:f>D98+(H98-C98)</x:f>
        <x:v>0</x:v>
      </x:c>
      <x:c r="S98" s="41" t="n">
        <x:f>K98</x:f>
        <x:v>0</x:v>
      </x:c>
      <x:c r="T98" s="40" t="str">
        <x:f>IFERROR(R98/S98,"")</x:f>
      </x:c>
      <x:c r="U98" s="41" t="n">
        <x:f>IF(T98&lt;0.8,0,1)</x:f>
        <x:v>0</x:v>
      </x:c>
      <x:c r="V98" s="42" t="str">
        <x:f>IF(U98=0,"",Q98+M98)</x:f>
      </x:c>
      <x:c r="W98" s="42" t="str">
        <x:f>IF(U98=0,"",MIN(V98,H98))</x:f>
      </x:c>
      <x:c r="X98" s="41" t="n">
        <x:f>IF(U98=0,0,W98-C98)</x:f>
        <x:v>0</x:v>
      </x:c>
      <x:c r="Y98" s="43" t="str">
        <x:f>IF(U98=0,"Non-Recoverable",IF(V98&gt;H98,"Safe through EOY","Unrecov in "&amp;X98&amp;"d ("&amp;TEXT(W98,"mm/dd")&amp;")"))</x:f>
        <x:v>Non-Recoverable</x:v>
      </x:c>
    </x:row>
    <x:row r="99">
      <x:c r="A99" s="34"/>
      <x:c r="B99" s="34"/>
      <x:c r="C99" s="35"/>
      <x:c r="D99" s="36"/>
      <x:c r="E99" s="36"/>
      <x:c r="F99" s="35"/>
      <x:c r="G99" s="36"/>
      <x:c r="H99" s="35"/>
      <x:c r="I99" s="40" t="str">
        <x:f>IFERROR(D99/E99,"")</x:f>
      </x:c>
      <x:c r="J99" s="41" t="n">
        <x:f>E99-D99</x:f>
        <x:v>0</x:v>
      </x:c>
      <x:c r="K99" s="41" t="n">
        <x:f>E99+(H99-C99)</x:f>
        <x:v>0</x:v>
      </x:c>
      <x:c r="L99" s="41" t="n">
        <x:f>FLOOR(K99*0.2,1)</x:f>
        <x:v>0</x:v>
      </x:c>
      <x:c r="M99" s="41" t="n">
        <x:f>MAX(L99-J99,0)</x:f>
        <x:v>0</x:v>
      </x:c>
      <x:c r="N99" s="42" t="n">
        <x:f>F99+G99-1</x:f>
        <x:v>-1</x:v>
      </x:c>
      <x:c r="O99" s="41" t="n">
        <x:f>MAX(N99-C99,0)</x:f>
        <x:v>0</x:v>
      </x:c>
      <x:c r="P99" s="41" t="n">
        <x:f>D99+O99</x:f>
        <x:v>0</x:v>
      </x:c>
      <x:c r="Q99" s="42" t="n">
        <x:f>MAX(C99,N99+1)</x:f>
        <x:v>0</x:v>
      </x:c>
      <x:c r="R99" s="41" t="n">
        <x:f>D99+(H99-C99)</x:f>
        <x:v>0</x:v>
      </x:c>
      <x:c r="S99" s="41" t="n">
        <x:f>K99</x:f>
        <x:v>0</x:v>
      </x:c>
      <x:c r="T99" s="40" t="str">
        <x:f>IFERROR(R99/S99,"")</x:f>
      </x:c>
      <x:c r="U99" s="41" t="n">
        <x:f>IF(T99&lt;0.8,0,1)</x:f>
        <x:v>0</x:v>
      </x:c>
      <x:c r="V99" s="42" t="str">
        <x:f>IF(U99=0,"",Q99+M99)</x:f>
      </x:c>
      <x:c r="W99" s="42" t="str">
        <x:f>IF(U99=0,"",MIN(V99,H99))</x:f>
      </x:c>
      <x:c r="X99" s="41" t="n">
        <x:f>IF(U99=0,0,W99-C99)</x:f>
        <x:v>0</x:v>
      </x:c>
      <x:c r="Y99" s="43" t="str">
        <x:f>IF(U99=0,"Non-Recoverable",IF(V99&gt;H99,"Safe through EOY","Unrecov in "&amp;X99&amp;"d ("&amp;TEXT(W99,"mm/dd")&amp;")"))</x:f>
        <x:v>Non-Recoverable</x:v>
      </x:c>
    </x:row>
    <x:row r="100">
      <x:c r="A100" s="34"/>
      <x:c r="B100" s="34"/>
      <x:c r="C100" s="35"/>
      <x:c r="D100" s="36"/>
      <x:c r="E100" s="36"/>
      <x:c r="F100" s="35"/>
      <x:c r="G100" s="36"/>
      <x:c r="H100" s="35"/>
      <x:c r="I100" s="40" t="str">
        <x:f>IFERROR(D100/E100,"")</x:f>
      </x:c>
      <x:c r="J100" s="41" t="n">
        <x:f>E100-D100</x:f>
        <x:v>0</x:v>
      </x:c>
      <x:c r="K100" s="41" t="n">
        <x:f>E100+(H100-C100)</x:f>
        <x:v>0</x:v>
      </x:c>
      <x:c r="L100" s="41" t="n">
        <x:f>FLOOR(K100*0.2,1)</x:f>
        <x:v>0</x:v>
      </x:c>
      <x:c r="M100" s="41" t="n">
        <x:f>MAX(L100-J100,0)</x:f>
        <x:v>0</x:v>
      </x:c>
      <x:c r="N100" s="42" t="n">
        <x:f>F100+G100-1</x:f>
        <x:v>-1</x:v>
      </x:c>
      <x:c r="O100" s="41" t="n">
        <x:f>MAX(N100-C100,0)</x:f>
        <x:v>0</x:v>
      </x:c>
      <x:c r="P100" s="41" t="n">
        <x:f>D100+O100</x:f>
        <x:v>0</x:v>
      </x:c>
      <x:c r="Q100" s="42" t="n">
        <x:f>MAX(C100,N100+1)</x:f>
        <x:v>0</x:v>
      </x:c>
      <x:c r="R100" s="41" t="n">
        <x:f>D100+(H100-C100)</x:f>
        <x:v>0</x:v>
      </x:c>
      <x:c r="S100" s="41" t="n">
        <x:f>K100</x:f>
        <x:v>0</x:v>
      </x:c>
      <x:c r="T100" s="40" t="str">
        <x:f>IFERROR(R100/S100,"")</x:f>
      </x:c>
      <x:c r="U100" s="41" t="n">
        <x:f>IF(T100&lt;0.8,0,1)</x:f>
        <x:v>0</x:v>
      </x:c>
      <x:c r="V100" s="42" t="str">
        <x:f>IF(U100=0,"",Q100+M100)</x:f>
      </x:c>
      <x:c r="W100" s="42" t="str">
        <x:f>IF(U100=0,"",MIN(V100,H100))</x:f>
      </x:c>
      <x:c r="X100" s="41" t="n">
        <x:f>IF(U100=0,0,W100-C100)</x:f>
        <x:v>0</x:v>
      </x:c>
      <x:c r="Y100" s="43" t="str">
        <x:f>IF(U100=0,"Non-Recoverable",IF(V100&gt;H100,"Safe through EOY","Unrecov in "&amp;X100&amp;"d ("&amp;TEXT(W100,"mm/dd")&amp;")"))</x:f>
        <x:v>Non-Recoverable</x:v>
      </x:c>
    </x:row>
  </x:sheetData>
  <x:mergeCells>
    <x:mergeCell ref="A1:Y1"/>
    <x:mergeCell ref="A2:Y2"/>
  </x:mergeCells>
  <x:conditionalFormatting sqref="U5:U100">
    <x:cfRule type="cellIs" dxfId="0" priority="1">
      <x:formula>0</x:formula>
    </x:cfRule>
  </x:conditionalFormatting>
  <x:conditionalFormatting sqref="Y5:Y100">
    <x:cfRule type="expression" dxfId="1" priority="2">
      <x:formula>LEFT(Y5,15)="Non-Recoverable"</x:formula>
    </x:cfRule>
    <x:cfRule type="expression" dxfId="2" priority="3">
      <x:formula>LEFT(Y5,6)="Unreco"</x:formula>
    </x:cfRule>
    <x:cfRule type="expression" dxfId="3" priority="4">
      <x:formula>LEFT(Y5,4)="Safe"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b9e676937ff4ae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45" hidden="0" customWidth="1"/>
    <x:col min="4" max="4" width="46" hidden="0" customWidth="1"/>
    <x:col min="5" max="5" width="42" hidden="0" customWidth="1"/>
  </x:cols>
  <x:sheetData>
    <x:row r="1">
      <x:c r="A1" s="18" t="str">
        <x:v>Column</x:v>
      </x:c>
      <x:c r="B1" s="18" t="str">
        <x:v>Type</x:v>
      </x:c>
      <x:c r="C1" s="18" t="str">
        <x:v>Formula / SQL Logic</x:v>
      </x:c>
      <x:c r="D1" s="18" t="str">
        <x:v>Business Meaning</x:v>
      </x:c>
      <x:c r="E1" s="18" t="str">
        <x:v>QA Notes</x:v>
      </x:c>
    </x:row>
    <x:row r="2">
      <x:c r="A2" s="26" t="str">
        <x:v>PDCCalculationDate</x:v>
      </x:c>
      <x:c r="B2" s="26" t="str">
        <x:v>Input</x:v>
      </x:c>
      <x:c r="C2" s="26" t="str">
        <x:v>CAST(PDC.PDC_RunDate AS DATE)</x:v>
      </x:c>
      <x:c r="D2" s="26" t="str">
        <x:v>Report anchor date / PDC calculation date.</x:v>
      </x:c>
      <x:c r="E2" s="26" t="str">
        <x:v>CurrentNumerator and CurrentDenominator are measured through this date.</x:v>
      </x:c>
    </x:row>
    <x:row r="3">
      <x:c r="A3" s="26" t="str">
        <x:v>CurrentNumerator</x:v>
      </x:c>
      <x:c r="B3" s="26" t="str">
        <x:v>Input</x:v>
      </x:c>
      <x:c r="C3" s="26" t="str">
        <x:v>PDC.NumUnadj</x:v>
      </x:c>
      <x:c r="D3" s="26" t="str">
        <x:v>Covered days through the report anchor date.</x:v>
      </x:c>
      <x:c r="E3" s="26" t="str">
        <x:v>Does not include future medication on hand after the anchor date.</x:v>
      </x:c>
    </x:row>
    <x:row r="4">
      <x:c r="A4" s="26" t="str">
        <x:v>CurrentDenominator</x:v>
      </x:c>
      <x:c r="B4" s="26" t="str">
        <x:v>Input</x:v>
      </x:c>
      <x:c r="C4" s="26" t="str">
        <x:v>PDC.DenUnadj</x:v>
      </x:c>
      <x:c r="D4" s="26" t="str">
        <x:v>Treatment span through the report anchor date.</x:v>
      </x:c>
      <x:c r="E4" s="26" t="str">
        <x:v>Used for current PDC and missed days to date.</x:v>
      </x:c>
    </x:row>
    <x:row r="5">
      <x:c r="A5" s="26" t="str">
        <x:v>LastFillDateAdjusted</x:v>
      </x:c>
      <x:c r="B5" s="26" t="str">
        <x:v>Input</x:v>
      </x:c>
      <x:c r="C5" s="26" t="str">
        <x:v>CAST(PDC.LastFillAdjusted AS DATE)</x:v>
      </x:c>
      <x:c r="D5" s="26" t="str">
        <x:v>Overlap-adjusted fill start date for latest fill.</x:v>
      </x:c>
      <x:c r="E5" s="26" t="str">
        <x:v>Must be adjusted/shifted for overlap. If not, the runout date will be wrong.</x:v>
      </x:c>
    </x:row>
    <x:row r="6">
      <x:c r="A6" s="26" t="str">
        <x:v>LastDaysSupply</x:v>
      </x:c>
      <x:c r="B6" s="26" t="str">
        <x:v>Input</x:v>
      </x:c>
      <x:c r="C6" s="26" t="str">
        <x:v>CAST(RNKR.LastDS AS INT)</x:v>
      </x:c>
      <x:c r="D6" s="26" t="str">
        <x:v>Day supply on latest fill.</x:v>
      </x:c>
      <x:c r="E6" s="26" t="str">
        <x:v>Used to calculate adjusted medication exhaust date.</x:v>
      </x:c>
    </x:row>
    <x:row r="7">
      <x:c r="A7" s="26" t="str">
        <x:v>YearEndDate</x:v>
      </x:c>
      <x:c r="B7" s="26" t="str">
        <x:v>Input/Derived</x:v>
      </x:c>
      <x:c r="C7" s="26" t="str">
        <x:v>12/31 of current year</x:v>
      </x:c>
      <x:c r="D7" s="26" t="str">
        <x:v>Measurement year-end date.</x:v>
      </x:c>
      <x:c r="E7" s="26" t="str">
        <x:v>For 2026 use 12/31/2026.</x:v>
      </x:c>
    </x:row>
    <x:row r="8">
      <x:c r="A8" s="26" t="str">
        <x:v>CurrentPDC</x:v>
      </x:c>
      <x:c r="B8" s="26" t="str">
        <x:v>Derived</x:v>
      </x:c>
      <x:c r="C8" s="26" t="str">
        <x:v>CurrentNumerator / CurrentDenominator</x:v>
      </x:c>
      <x:c r="D8" s="26" t="str">
        <x:v>Current adherence rate through report date.</x:v>
      </x:c>
      <x:c r="E8" s="26" t="str">
        <x:v>Protect against divide-by-zero.</x:v>
      </x:c>
    </x:row>
    <x:row r="9">
      <x:c r="A9" s="26" t="str">
        <x:v>DaysAlreadyMissed</x:v>
      </x:c>
      <x:c r="B9" s="26" t="str">
        <x:v>Derived</x:v>
      </x:c>
      <x:c r="C9" s="26" t="str">
        <x:v>CurrentDenominator - CurrentNumerator</x:v>
      </x:c>
      <x:c r="D9" s="26" t="str">
        <x:v>Uncovered treatment-span days already missed.</x:v>
      </x:c>
      <x:c r="E9" s="26" t="str">
        <x:v>Higher value means closer to unrecoverable.</x:v>
      </x:c>
    </x:row>
    <x:row r="10">
      <x:c r="A10" s="26" t="str">
        <x:v>YearEndDenominator</x:v>
      </x:c>
      <x:c r="B10" s="26" t="str">
        <x:v>Derived</x:v>
      </x:c>
      <x:c r="C10" s="26" t="str">
        <x:v>CurrentDenominator + (YearEndDate - PDCCalculationDate)</x:v>
      </x:c>
      <x:c r="D10" s="26" t="str">
        <x:v>Projected denominator by year-end.</x:v>
      </x:c>
      <x:c r="E10" s="26" t="str">
        <x:v>Assumes member remains in measure through year-end.</x:v>
      </x:c>
    </x:row>
    <x:row r="11">
      <x:c r="A11" s="26" t="str">
        <x:v>TotalYearlyMissedDayBudget</x:v>
      </x:c>
      <x:c r="B11" s="26" t="str">
        <x:v>Derived</x:v>
      </x:c>
      <x:c r="C11" s="26" t="str">
        <x:v>FLOOR(YearEndDenominator * 0.20)</x:v>
      </x:c>
      <x:c r="D11" s="26" t="str">
        <x:v>Total missed days allowed while maintaining 80% PDC.</x:v>
      </x:c>
      <x:c r="E11" s="26" t="str">
        <x:v>20% missed budget equals 80% adherence target.</x:v>
      </x:c>
    </x:row>
    <x:row r="12">
      <x:c r="A12" s="26" t="str">
        <x:v>RemainingMissedDayBudget</x:v>
      </x:c>
      <x:c r="B12" s="26" t="str">
        <x:v>Derived</x:v>
      </x:c>
      <x:c r="C12" s="26" t="str">
        <x:v>MAX(TotalYearlyMissedDayBudget - DaysAlreadyMissed, 0)</x:v>
      </x:c>
      <x:c r="D12" s="26" t="str">
        <x:v>Additional uncovered days still allowed.</x:v>
      </x:c>
      <x:c r="E12" s="26" t="str">
        <x:v>The countdown budget before becoming unrecoverable.</x:v>
      </x:c>
    </x:row>
    <x:row r="13">
      <x:c r="A13" s="26" t="str">
        <x:v>MedicationRunoutDate</x:v>
      </x:c>
      <x:c r="B13" s="26" t="str">
        <x:v>Derived</x:v>
      </x:c>
      <x:c r="C13" s="26" t="str">
        <x:v>LastFillDateAdjusted + LastDaysSupply - 1</x:v>
      </x:c>
      <x:c r="D13" s="26" t="str">
        <x:v>Adjusted date current medication supply runs out.</x:v>
      </x:c>
      <x:c r="E13" s="26" t="str">
        <x:v>Counts extra medication on hand after report date.</x:v>
      </x:c>
    </x:row>
    <x:row r="14">
      <x:c r="A14" s="26" t="str">
        <x:v>MedicationRunoutDays</x:v>
      </x:c>
      <x:c r="B14" s="26" t="str">
        <x:v>Derived</x:v>
      </x:c>
      <x:c r="C14" s="26" t="str">
        <x:v>MAX(MedicationRunoutDate - PDCCalculationDate, 0)</x:v>
      </x:c>
      <x:c r="D14" s="26" t="str">
        <x:v>Future covered days already on hand after report date.</x:v>
      </x:c>
      <x:c r="E14" s="26" t="str">
        <x:v>This is the key on-hand medication adjustment.</x:v>
      </x:c>
    </x:row>
    <x:row r="15">
      <x:c r="A15" s="26" t="str">
        <x:v>CoveredDaysWithRunout</x:v>
      </x:c>
      <x:c r="B15" s="26" t="str">
        <x:v>Derived</x:v>
      </x:c>
      <x:c r="C15" s="26" t="str">
        <x:v>CurrentNumerator + MedicationRunoutDays</x:v>
      </x:c>
      <x:c r="D15" s="26" t="str">
        <x:v>Covered days including future medication already supplied.</x:v>
      </x:c>
      <x:c r="E15" s="26" t="str">
        <x:v>Use for QA sanity checks.</x:v>
      </x:c>
    </x:row>
    <x:row r="16">
      <x:c r="A16" s="26" t="str">
        <x:v>CoverageGapStartDate</x:v>
      </x:c>
      <x:c r="B16" s="26" t="str">
        <x:v>Derived</x:v>
      </x:c>
      <x:c r="C16" s="26" t="str">
        <x:v>MAX(PDCCalculationDate, MedicationRunoutDate + 1)</x:v>
      </x:c>
      <x:c r="D16" s="26" t="str">
        <x:v>First date additional uncovered days can begin.</x:v>
      </x:c>
      <x:c r="E16" s="26" t="str">
        <x:v>If overdue, starts at report date. If still supplied, starts after runout.</x:v>
      </x:c>
    </x:row>
    <x:row r="17">
      <x:c r="A17" s="26" t="str">
        <x:v>MaximumAchievablePDC</x:v>
      </x:c>
      <x:c r="B17" s="26" t="str">
        <x:v>Derived</x:v>
      </x:c>
      <x:c r="C17" s="26" t="str">
        <x:v>MaxPotentialNumerator / MaxPotentialDenominator</x:v>
      </x:c>
      <x:c r="D17" s="26" t="str">
        <x:v>Highest possible year-end PDC if fully covered from report date forward.</x:v>
      </x:c>
      <x:c r="E17" s="26" t="str">
        <x:v>Drives RecoverableFlag.</x:v>
      </x:c>
    </x:row>
    <x:row r="18">
      <x:c r="A18" s="26" t="str">
        <x:v>RecoverableFlag</x:v>
      </x:c>
      <x:c r="B18" s="26" t="str">
        <x:v>Derived</x:v>
      </x:c>
      <x:c r="C18" s="26" t="str">
        <x:v>CASE WHEN MaximumAchievablePDC &lt; 0.80 THEN 0 ELSE 1 END</x:v>
      </x:c>
      <x:c r="D18" s="26" t="str">
        <x:v>1 = mathematically recoverable, 0 = impossible to reach 80%.</x:v>
      </x:c>
      <x:c r="E18" s="26" t="str">
        <x:v>Non-recoverable should have NULL LastImpactDate in SQL.</x:v>
      </x:c>
    </x:row>
    <x:row r="19">
      <x:c r="A19" s="26" t="str">
        <x:v>LastImpactDate</x:v>
      </x:c>
      <x:c r="B19" s="26" t="str">
        <x:v>Derived</x:v>
      </x:c>
      <x:c r="C19" s="26" t="str">
        <x:v>MIN(CoverageGapStartDate + RemainingMissedDayBudget, YearEndDate)</x:v>
      </x:c>
      <x:c r="D19" s="26" t="str">
        <x:v>Latest date member must resume continuous coverage before becoming unrecoverable.</x:v>
      </x:c>
      <x:c r="E19" s="26" t="str">
        <x:v>If raw impact date exceeds year-end, display Safe through EOY.</x:v>
      </x:c>
    </x:row>
    <x:row r="20">
      <x:c r="A20" s="26" t="str">
        <x:v>DaysUntilUnrecoverable</x:v>
      </x:c>
      <x:c r="B20" s="26" t="str">
        <x:v>Derived</x:v>
      </x:c>
      <x:c r="C20" s="26" t="str">
        <x:v>LastImpactDate - PDCCalculationDate</x:v>
      </x:c>
      <x:c r="D20" s="26" t="str">
        <x:v>Days from report date to last impact date.</x:v>
      </x:c>
      <x:c r="E20" s="26" t="str">
        <x:v>Use for PDF display.</x:v>
      </x:c>
    </x:row>
    <x:row r="21">
      <x:c r="A21" s="26" t="str">
        <x:v>DisplayText</x:v>
      </x:c>
      <x:c r="B21" s="26" t="str">
        <x:v>Derived</x:v>
      </x:c>
      <x:c r="C21" s="26" t="str">
        <x:v>Non-Recoverable / Safe through EOY / Unrecov in Xd (MM/DD)</x:v>
      </x:c>
      <x:c r="D21" s="26" t="str">
        <x:v>Business-friendly status label.</x:v>
      </x:c>
      <x:c r="E21" s="26" t="str">
        <x:v>Use this for report QA readability.</x:v>
      </x:c>
    </x:row>
  </x:sheetData>
  <x:pageMargins left="0.7" right="0.7" top="0.75" bottom="0.75" header="0.3" footer="0.3"/>
  <x:tableParts count="1">
    <x:tablePart xmlns:r="http://schemas.openxmlformats.org/officeDocument/2006/relationships" r:id="Rcc8dbd0c4ba247b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50" t="str">
        <x:v>/* QA Query for MAT_TEMP_2026</x:v>
      </x:c>
    </x:row>
    <x:row r="2">
      <x:c r="A2" s="51" t="str">
        <x:v>   Purpose: reproduce recoverability and Last Impact Date logic using the same naming convention.</x:v>
      </x:c>
    </x:row>
    <x:row r="3">
      <x:c r="A3" s="51" t="str">
        <x:v>   Assumption: LastFillDateAdjusted is the overlap-adjusted fill START date.</x:v>
      </x:c>
    </x:row>
    <x:row r="4">
      <x:c r="A4" s="51" t="str">
        <x:v>*/</x:v>
      </x:c>
    </x:row>
    <x:row r="5">
      <x:c r="A5" s="51" t="str"/>
    </x:row>
    <x:row r="6">
      <x:c r="A6" s="51" t="str">
        <x:v>SELECT</x:v>
      </x:c>
    </x:row>
    <x:row r="7">
      <x:c r="A7" s="51" t="str">
        <x:v>    T.*,</x:v>
      </x:c>
    </x:row>
    <x:row r="8">
      <x:c r="A8" s="51" t="str"/>
    </x:row>
    <x:row r="9">
      <x:c r="A9" s="51" t="str">
        <x:v>    /* Current PDC snapshot */</x:v>
      </x:c>
    </x:row>
    <x:row r="10">
      <x:c r="A10" s="51" t="str">
        <x:v>    (1.00 * CurrentNumerator) / NULLIF(CurrentDenominator, 0) AS CurrentPDC,</x:v>
      </x:c>
    </x:row>
    <x:row r="11">
      <x:c r="A11" s="51" t="str"/>
    </x:row>
    <x:row r="12">
      <x:c r="A12" s="51" t="str">
        <x:v>    /* Days already missed through the report anchor date */</x:v>
      </x:c>
    </x:row>
    <x:row r="13">
      <x:c r="A13" s="51" t="str">
        <x:v>    CurrentDenominator - CurrentNumerator AS DaysAlreadyMissed,</x:v>
      </x:c>
    </x:row>
    <x:row r="14">
      <x:c r="A14" s="51" t="str"/>
    </x:row>
    <x:row r="15">
      <x:c r="A15" s="51" t="str">
        <x:v>    /* Projected year-end denominator */</x:v>
      </x:c>
    </x:row>
    <x:row r="16">
      <x:c r="A16" s="51" t="str">
        <x:v>    CurrentDenominator</x:v>
      </x:c>
    </x:row>
    <x:row r="17">
      <x:c r="A17" s="51" t="str">
        <x:v>        + (YearEndDate - PDCCalculationDate) AS YearEndDenominator,</x:v>
      </x:c>
    </x:row>
    <x:row r="18">
      <x:c r="A18" s="51" t="str"/>
    </x:row>
    <x:row r="19">
      <x:c r="A19" s="51" t="str">
        <x:v>    /* Total missed days allowed while keeping 80% PDC */</x:v>
      </x:c>
    </x:row>
    <x:row r="20">
      <x:c r="A20" s="51" t="str">
        <x:v>    CAST(FLOOR(YearEndDenominator * 0.20) AS INT) AS TotalYearlyMissedDayBudget,</x:v>
      </x:c>
    </x:row>
    <x:row r="21">
      <x:c r="A21" s="51" t="str"/>
    </x:row>
    <x:row r="22">
      <x:c r="A22" s="51" t="str">
        <x:v>    /* Additional uncovered days the member can still miss */</x:v>
      </x:c>
    </x:row>
    <x:row r="23">
      <x:c r="A23" s="51" t="str">
        <x:v>    GREATEST(</x:v>
      </x:c>
    </x:row>
    <x:row r="24">
      <x:c r="A24" s="51" t="str">
        <x:v>        TotalYearlyMissedDayBudget - DaysAlreadyMissed,</x:v>
      </x:c>
    </x:row>
    <x:row r="25">
      <x:c r="A25" s="51" t="str">
        <x:v>        0</x:v>
      </x:c>
    </x:row>
    <x:row r="26">
      <x:c r="A26" s="51" t="str">
        <x:v>    ) AS RemainingMissedDayBudget,</x:v>
      </x:c>
    </x:row>
    <x:row r="27">
      <x:c r="A27" s="51" t="str"/>
    </x:row>
    <x:row r="28">
      <x:c r="A28" s="51" t="str">
        <x:v>    /* Adjusted medication exhaust date after overlap logic */</x:v>
      </x:c>
    </x:row>
    <x:row r="29">
      <x:c r="A29" s="51" t="str">
        <x:v>    LastFillDateAdjusted + LastDaysSupply - 1 AS MedicationRunoutDate,</x:v>
      </x:c>
    </x:row>
    <x:row r="30">
      <x:c r="A30" s="51" t="str"/>
    </x:row>
    <x:row r="31">
      <x:c r="A31" s="51" t="str">
        <x:v>    /* Future covered days already on hand after report anchor date */</x:v>
      </x:c>
    </x:row>
    <x:row r="32">
      <x:c r="A32" s="51" t="str">
        <x:v>    GREATEST(</x:v>
      </x:c>
    </x:row>
    <x:row r="33">
      <x:c r="A33" s="51" t="str">
        <x:v>        MedicationRunoutDate - PDCCalculationDate,</x:v>
      </x:c>
    </x:row>
    <x:row r="34">
      <x:c r="A34" s="51" t="str">
        <x:v>        0</x:v>
      </x:c>
    </x:row>
    <x:row r="35">
      <x:c r="A35" s="51" t="str">
        <x:v>    ) AS MedicationRunoutDays,</x:v>
      </x:c>
    </x:row>
    <x:row r="36">
      <x:c r="A36" s="51" t="str"/>
    </x:row>
    <x:row r="37">
      <x:c r="A37" s="51" t="str">
        <x:v>    /* Covered days including medication already on hand */</x:v>
      </x:c>
    </x:row>
    <x:row r="38">
      <x:c r="A38" s="51" t="str">
        <x:v>    CurrentNumerator + MedicationRunoutDays AS CoveredDaysWithRunout,</x:v>
      </x:c>
    </x:row>
    <x:row r="39">
      <x:c r="A39" s="51" t="str"/>
    </x:row>
    <x:row r="40">
      <x:c r="A40" s="51" t="str">
        <x:v>    /* First date the member can start accumulating additional missed days */</x:v>
      </x:c>
    </x:row>
    <x:row r="41">
      <x:c r="A41" s="51" t="str">
        <x:v>    GREATEST(</x:v>
      </x:c>
    </x:row>
    <x:row r="42">
      <x:c r="A42" s="51" t="str">
        <x:v>        PDCCalculationDate,</x:v>
      </x:c>
    </x:row>
    <x:row r="43">
      <x:c r="A43" s="51" t="str">
        <x:v>        MedicationRunoutDate + 1</x:v>
      </x:c>
    </x:row>
    <x:row r="44">
      <x:c r="A44" s="51" t="str">
        <x:v>    ) AS CoverageGapStartDate,</x:v>
      </x:c>
    </x:row>
    <x:row r="45">
      <x:c r="A45" s="51" t="str"/>
    </x:row>
    <x:row r="46">
      <x:c r="A46" s="51" t="str">
        <x:v>    /* Maximum possible year-end PDC if fully covered from report date forward */</x:v>
      </x:c>
    </x:row>
    <x:row r="47">
      <x:c r="A47" s="51" t="str">
        <x:v>    CurrentNumerator</x:v>
      </x:c>
    </x:row>
    <x:row r="48">
      <x:c r="A48" s="51" t="str">
        <x:v>        + (YearEndDate - PDCCalculationDate) AS MaxPotentialNumerator,</x:v>
      </x:c>
    </x:row>
    <x:row r="49">
      <x:c r="A49" s="51" t="str"/>
    </x:row>
    <x:row r="50">
      <x:c r="A50" s="51" t="str">
        <x:v>    YearEndDenominator AS MaxPotentialDenominator,</x:v>
      </x:c>
    </x:row>
    <x:row r="51">
      <x:c r="A51" s="51" t="str"/>
    </x:row>
    <x:row r="52">
      <x:c r="A52" s="51" t="str">
        <x:v>    CAST(MaxPotentialNumerator AS FLOAT)</x:v>
      </x:c>
    </x:row>
    <x:row r="53">
      <x:c r="A53" s="51" t="str">
        <x:v>        / NULLIF(MaxPotentialDenominator, 0) AS MaximumAchievablePDC,</x:v>
      </x:c>
    </x:row>
    <x:row r="54">
      <x:c r="A54" s="51" t="str"/>
    </x:row>
    <x:row r="55">
      <x:c r="A55" s="51" t="str">
        <x:v>    CASE</x:v>
      </x:c>
    </x:row>
    <x:row r="56">
      <x:c r="A56" s="51" t="str">
        <x:v>        WHEN MaximumAchievablePDC &lt; 0.80 THEN 0</x:v>
      </x:c>
    </x:row>
    <x:row r="57">
      <x:c r="A57" s="51" t="str">
        <x:v>        ELSE 1</x:v>
      </x:c>
    </x:row>
    <x:row r="58">
      <x:c r="A58" s="51" t="str">
        <x:v>    END AS RecoverableFlag,</x:v>
      </x:c>
    </x:row>
    <x:row r="59">
      <x:c r="A59" s="51" t="str"/>
    </x:row>
    <x:row r="60">
      <x:c r="A60" s="51" t="str">
        <x:v>    /* Raw latest date the member must resume continuous coverage */</x:v>
      </x:c>
    </x:row>
    <x:row r="61">
      <x:c r="A61" s="51" t="str">
        <x:v>    CASE</x:v>
      </x:c>
    </x:row>
    <x:row r="62">
      <x:c r="A62" s="51" t="str">
        <x:v>        WHEN RecoverableFlag = 0 THEN NULL</x:v>
      </x:c>
    </x:row>
    <x:row r="63">
      <x:c r="A63" s="51" t="str">
        <x:v>        ELSE CoverageGapStartDate + RemainingMissedDayBudget</x:v>
      </x:c>
    </x:row>
    <x:row r="64">
      <x:c r="A64" s="51" t="str">
        <x:v>    END AS LastImpactRaw,</x:v>
      </x:c>
    </x:row>
    <x:row r="65">
      <x:c r="A65" s="51" t="str"/>
    </x:row>
    <x:row r="66">
      <x:c r="A66" s="51" t="str">
        <x:v>    /* Capped display date for the measurement year */</x:v>
      </x:c>
    </x:row>
    <x:row r="67">
      <x:c r="A67" s="51" t="str">
        <x:v>    CASE</x:v>
      </x:c>
    </x:row>
    <x:row r="68">
      <x:c r="A68" s="51" t="str">
        <x:v>        WHEN RecoverableFlag = 0 THEN NULL</x:v>
      </x:c>
    </x:row>
    <x:row r="69">
      <x:c r="A69" s="51" t="str">
        <x:v>        WHEN LastImpactRaw &gt; YearEndDate THEN YearEndDate</x:v>
      </x:c>
    </x:row>
    <x:row r="70">
      <x:c r="A70" s="51" t="str">
        <x:v>        ELSE LastImpactRaw</x:v>
      </x:c>
    </x:row>
    <x:row r="71">
      <x:c r="A71" s="51" t="str">
        <x:v>    END AS LastImpactDate,</x:v>
      </x:c>
    </x:row>
    <x:row r="72">
      <x:c r="A72" s="51" t="str"/>
    </x:row>
    <x:row r="73">
      <x:c r="A73" s="51" t="str">
        <x:v>    CASE</x:v>
      </x:c>
    </x:row>
    <x:row r="74">
      <x:c r="A74" s="51" t="str">
        <x:v>        WHEN RecoverableFlag = 0 THEN 0</x:v>
      </x:c>
    </x:row>
    <x:row r="75">
      <x:c r="A75" s="51" t="str">
        <x:v>        ELSE LastImpactDate - PDCCalculationDate</x:v>
      </x:c>
    </x:row>
    <x:row r="76">
      <x:c r="A76" s="51" t="str">
        <x:v>    END AS DaysUntilUnrecoverable,</x:v>
      </x:c>
    </x:row>
    <x:row r="77">
      <x:c r="A77" s="51" t="str"/>
    </x:row>
    <x:row r="78">
      <x:c r="A78" s="51" t="str">
        <x:v>    CASE</x:v>
      </x:c>
    </x:row>
    <x:row r="79">
      <x:c r="A79" s="51" t="str">
        <x:v>        WHEN RecoverableFlag = 0 THEN 'Non-Recoverable'</x:v>
      </x:c>
    </x:row>
    <x:row r="80">
      <x:c r="A80" s="51" t="str">
        <x:v>        WHEN LastImpactRaw &gt; YearEndDate THEN 'Safe through EOY'</x:v>
      </x:c>
    </x:row>
    <x:row r="81">
      <x:c r="A81" s="51" t="str">
        <x:v>        ELSE 'Unrecov in '</x:v>
      </x:c>
    </x:row>
    <x:row r="82">
      <x:c r="A82" s="51" t="str">
        <x:v>            || TRIM(CAST(DaysUntilUnrecoverable AS VARCHAR(10)))</x:v>
      </x:c>
    </x:row>
    <x:row r="83">
      <x:c r="A83" s="51" t="str">
        <x:v>            || 'd ('</x:v>
      </x:c>
    </x:row>
    <x:row r="84">
      <x:c r="A84" s="51" t="str">
        <x:v>            || TO_CHAR(LastImpactDate, 'MM/DD')</x:v>
      </x:c>
    </x:row>
    <x:row r="85">
      <x:c r="A85" s="51" t="str">
        <x:v>            || ')'</x:v>
      </x:c>
    </x:row>
    <x:row r="86">
      <x:c r="A86" s="51" t="str">
        <x:v>    END AS DisplayText</x:v>
      </x:c>
    </x:row>
    <x:row r="87">
      <x:c r="A87" s="51" t="str"/>
    </x:row>
    <x:row r="88">
      <x:c r="A88" s="51" t="str">
        <x:v>FROM</x:v>
      </x:c>
    </x:row>
    <x:row r="89">
      <x:c r="A89" s="51" t="str">
        <x:v>(</x:v>
      </x:c>
    </x:row>
    <x:row r="90">
      <x:c r="A90" s="51" t="str">
        <x:v>    SELECT</x:v>
      </x:c>
    </x:row>
    <x:row r="91">
      <x:c r="A91" s="51" t="str">
        <x:v>        MemberID,</x:v>
      </x:c>
    </x:row>
    <x:row r="92">
      <x:c r="A92" s="51" t="str">
        <x:v>        MedicationClass,</x:v>
      </x:c>
    </x:row>
    <x:row r="93">
      <x:c r="A93" s="51" t="str"/>
    </x:row>
    <x:row r="94">
      <x:c r="A94" s="51" t="str">
        <x:v>        /* Use your table's field names here */</x:v>
      </x:c>
    </x:row>
    <x:row r="95">
      <x:c r="A95" s="51" t="str">
        <x:v>        CAST(LastUpdate AS DATE) AS PDCCalculationDate,</x:v>
      </x:c>
    </x:row>
    <x:row r="96">
      <x:c r="A96" s="51" t="str">
        <x:v>        CAST(Numerator AS INT) AS CurrentNumerator,</x:v>
      </x:c>
    </x:row>
    <x:row r="97">
      <x:c r="A97" s="51" t="str">
        <x:v>        CAST(Denominator AS INT) AS CurrentDenominator,</x:v>
      </x:c>
    </x:row>
    <x:row r="98">
      <x:c r="A98" s="51" t="str">
        <x:v>        CAST(LastFillAdjusted AS DATE) AS LastFillDateAdjusted,</x:v>
      </x:c>
    </x:row>
    <x:row r="99">
      <x:c r="A99" s="51" t="str"/>
    </x:row>
    <x:row r="100">
      <x:c r="A100" s="51" t="str">
        <x:v>        /* If your table already has LastDaysSupply, use it.</x:v>
      </x:c>
    </x:row>
    <x:row r="101">
      <x:c r="A101" s="51" t="str">
        <x:v>           If not, replace this with the correct day-supply column. */</x:v>
      </x:c>
    </x:row>
    <x:row r="102">
      <x:c r="A102" s="51" t="str">
        <x:v>        CAST(LastDS AS INT) AS LastDaysSupply,</x:v>
      </x:c>
    </x:row>
    <x:row r="103">
      <x:c r="A103" s="51" t="str"/>
    </x:row>
    <x:row r="104">
      <x:c r="A104" s="51" t="str">
        <x:v>        CAST(CAST(YEAR(CAST(LastUpdate AS DATE)) AS VARCHAR(4)) || '-12-31' AS DATE) AS YearEndDate</x:v>
      </x:c>
    </x:row>
    <x:row r="105">
      <x:c r="A105" s="51" t="str"/>
    </x:row>
    <x:row r="106">
      <x:c r="A106" s="51" t="str">
        <x:v>    FROM MAT_TEMP_2026</x:v>
      </x:c>
    </x:row>
    <x:row r="107">
      <x:c r="A107" s="51" t="str">
        <x:v>) T</x:v>
      </x:c>
    </x:row>
    <x:row r="108">
      <x:c r="A108" s="51" t="str">
        <x:v>;</x:v>
      </x:c>
    </x:row>
  </x:sheetData>
  <x:pageMargins left="0.7" right="0.7" top="0.75" bottom="0.75" header="0.3" footer="0.3"/>
</x:worksheet>
</file>